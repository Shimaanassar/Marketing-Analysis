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mc:AlternateContent xmlns:mc="http://schemas.openxmlformats.org/markup-compatibility/2006">
    <mc:Choice Requires="x15">
      <x15ac:absPath xmlns:x15ac="http://schemas.microsoft.com/office/spreadsheetml/2010/11/ac" url="D:\data _analysis\النسخه الاخيره من مشروع marketing\"/>
    </mc:Choice>
  </mc:AlternateContent>
  <xr:revisionPtr revIDLastSave="0" documentId="13_ncr:1_{DC03AD28-455F-4B55-86EF-5F15EBEDFCAB}" xr6:coauthVersionLast="47" xr6:coauthVersionMax="47" xr10:uidLastSave="{00000000-0000-0000-0000-000000000000}"/>
  <bookViews>
    <workbookView xWindow="-108" yWindow="-108" windowWidth="23256" windowHeight="12456" activeTab="4" xr2:uid="{00000000-000D-0000-FFFF-FFFF00000000}"/>
  </bookViews>
  <sheets>
    <sheet name="Merge1" sheetId="3" r:id="rId1"/>
    <sheet name="home" sheetId="7" r:id="rId2"/>
    <sheet name="page_1" sheetId="10" r:id="rId3"/>
    <sheet name="page_2" sheetId="13" r:id="rId4"/>
    <sheet name="page_3" sheetId="14" r:id="rId5"/>
  </sheets>
  <definedNames>
    <definedName name="Slicer_Age_group">#N/A</definedName>
    <definedName name="Slicer_Campaign_Type">#N/A</definedName>
    <definedName name="Slicer_Channel_Use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3" l="1"/>
  <c r="E7" i="3"/>
  <c r="E6" i="3"/>
  <c r="F6" i="3"/>
  <c r="G4" i="3"/>
  <c r="G3" i="3"/>
  <c r="E13" i="3"/>
  <c r="E12" i="3"/>
  <c r="E10" i="3"/>
  <c r="E9" i="3"/>
  <c r="F4" i="3"/>
  <c r="F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5B457C-33AA-446B-82A0-258BAE28E74E}" keepAlive="1" name="Query - Clean Markting Data" description="Connection to the 'Clean Markting Data' query in the workbook." type="5" refreshedVersion="0" background="1">
    <dbPr connection="Provider=Microsoft.Mashup.OleDb.1;Data Source=$Workbook$;Location=&quot;Clean Markting Data&quot;;Extended Properties=&quot;&quot;" command="SELECT * FROM [Clean Markting Data]"/>
  </connection>
  <connection id="2" xr16:uid="{88157CE8-1822-4C40-8EDA-26812D8B2A24}" keepAlive="1" name="Query - Merge1" description="Connection to the 'Merge1' query in the workbook." type="5" refreshedVersion="8" background="1">
    <dbPr connection="Provider=Microsoft.Mashup.OleDb.1;Data Source=$Workbook$;Location=Merge1;Extended Properties=&quot;&quot;" command="SELECT * FROM [Merge1]"/>
  </connection>
  <connection id="3" xr16:uid="{727B249D-2260-4ADE-91B0-9A1BAC08C127}"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<sst xmlns="http://schemas.openxmlformats.org/spreadsheetml/2006/main" count="202" uniqueCount="50">
  <si>
    <t>ROI</t>
  </si>
  <si>
    <t>Email</t>
  </si>
  <si>
    <t>Social Media</t>
  </si>
  <si>
    <t>Instagram</t>
  </si>
  <si>
    <t>Google Ads</t>
  </si>
  <si>
    <t>Influencer</t>
  </si>
  <si>
    <t>YouTube</t>
  </si>
  <si>
    <t>Row Labels</t>
  </si>
  <si>
    <t>Grand Total</t>
  </si>
  <si>
    <t>Sum of Acquisition_Cost</t>
  </si>
  <si>
    <t>Jan</t>
  </si>
  <si>
    <t>Feb</t>
  </si>
  <si>
    <t>Mar</t>
  </si>
  <si>
    <t>Apr</t>
  </si>
  <si>
    <t>May</t>
  </si>
  <si>
    <t>Jun</t>
  </si>
  <si>
    <t>Jul</t>
  </si>
  <si>
    <t>Aug</t>
  </si>
  <si>
    <t>Sep</t>
  </si>
  <si>
    <t>Oct</t>
  </si>
  <si>
    <t>Nov</t>
  </si>
  <si>
    <t>Dec</t>
  </si>
  <si>
    <t>Sum of Impressions</t>
  </si>
  <si>
    <t>Health &amp; Wellness</t>
  </si>
  <si>
    <t>Fashionistas</t>
  </si>
  <si>
    <t>Outdoor Adventurers</t>
  </si>
  <si>
    <t>Display</t>
  </si>
  <si>
    <t>Foodies</t>
  </si>
  <si>
    <t>Website</t>
  </si>
  <si>
    <t>Tech Enthusiasts</t>
  </si>
  <si>
    <t>Search</t>
  </si>
  <si>
    <t>Facebook</t>
  </si>
  <si>
    <t>Sum of Clicks</t>
  </si>
  <si>
    <t>Marketing Campain Analysis</t>
  </si>
  <si>
    <t>KPI</t>
  </si>
  <si>
    <t>Sum of CTR</t>
  </si>
  <si>
    <t>Sum of Conversion_Rate</t>
  </si>
  <si>
    <t>Average of Conversion_Rate</t>
  </si>
  <si>
    <t>Average of ROI</t>
  </si>
  <si>
    <t>Sum of Engagement_Score</t>
  </si>
  <si>
    <t xml:space="preserve">T-Impression </t>
  </si>
  <si>
    <t xml:space="preserve"> </t>
  </si>
  <si>
    <t>T-Engagement_Score</t>
  </si>
  <si>
    <t>T-score</t>
  </si>
  <si>
    <t xml:space="preserve">      CTR</t>
  </si>
  <si>
    <t xml:space="preserve">conversion_rate </t>
  </si>
  <si>
    <t>T-Clicks</t>
  </si>
  <si>
    <t>campain-type</t>
  </si>
  <si>
    <t>channel used</t>
  </si>
  <si>
    <t>Customer_segment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</si>
</sst>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M&quot;"/>
    <numFmt numFmtId="165" formatCode="#,##0&quot;K&quot;"/>
  </numFmts>
  <fonts count="8" x14ac:knownFonts="1">
    <font>
      <sz val="11"/>
      <color theme="1"/>
      <name val="Calibri"/>
      <family val="2"/>
      <scheme val="minor"/>
    </font>
    <font>
      <sz val="11"/>
      <color rgb="FFFF0000"/>
      <name val="Calibri"/>
      <family val="2"/>
      <scheme val="minor"/>
    </font>
    <font>
      <b/>
      <sz val="18"/>
      <color theme="1"/>
      <name val="Calibri"/>
      <family val="2"/>
      <scheme val="minor"/>
    </font>
    <font>
      <b/>
      <sz val="14"/>
      <color theme="1"/>
      <name val="Calibri"/>
      <family val="2"/>
      <scheme val="minor"/>
    </font>
    <font>
      <b/>
      <sz val="16"/>
      <color theme="1"/>
      <name val="Calibri"/>
      <family val="2"/>
      <scheme val="minor"/>
    </font>
    <font>
      <sz val="14"/>
      <color theme="1"/>
      <name val="Calibri"/>
      <family val="2"/>
      <scheme val="minor"/>
    </font>
    <font>
      <sz val="16"/>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249977111117893"/>
        <bgColor indexed="64"/>
      </patternFill>
    </fill>
    <fill>
      <patternFill patternType="solid">
        <fgColor theme="8" tint="-0.249977111117893"/>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0" fontId="0" fillId="0" borderId="0" xfId="0" applyNumberFormat="1"/>
    <xf numFmtId="2" fontId="0" fillId="0" borderId="0" xfId="0" applyNumberFormat="1"/>
    <xf numFmtId="0" fontId="0" fillId="2" borderId="0" xfId="0" applyFill="1"/>
    <xf numFmtId="0" fontId="0" fillId="4" borderId="0" xfId="0" applyFill="1"/>
    <xf numFmtId="0" fontId="3" fillId="4" borderId="0" xfId="0" applyFont="1" applyFill="1"/>
    <xf numFmtId="0" fontId="5" fillId="2" borderId="0" xfId="0" applyFont="1" applyFill="1"/>
    <xf numFmtId="0" fontId="0" fillId="4" borderId="0" xfId="0" applyFill="1" applyAlignment="1">
      <alignment horizontal="left"/>
    </xf>
    <xf numFmtId="0" fontId="4" fillId="4" borderId="0" xfId="0" applyFont="1" applyFill="1" applyAlignment="1">
      <alignment horizontal="center"/>
    </xf>
    <xf numFmtId="0" fontId="4" fillId="4" borderId="0" xfId="0" applyFont="1" applyFill="1" applyAlignment="1">
      <alignment horizontal="left"/>
    </xf>
    <xf numFmtId="0" fontId="4" fillId="4" borderId="0" xfId="0" applyFont="1" applyFill="1"/>
    <xf numFmtId="4" fontId="0" fillId="0" borderId="0" xfId="0" applyNumberFormat="1"/>
    <xf numFmtId="0" fontId="6" fillId="4" borderId="0" xfId="0" applyFont="1" applyFill="1" applyAlignment="1">
      <alignment horizontal="left"/>
    </xf>
    <xf numFmtId="0" fontId="4" fillId="4" borderId="0" xfId="0" applyFont="1" applyFill="1" applyAlignment="1">
      <alignment horizontal="left" indent="1"/>
    </xf>
    <xf numFmtId="0" fontId="2" fillId="4" borderId="0" xfId="0" applyFont="1" applyFill="1" applyAlignment="1">
      <alignment horizontal="left" indent="4"/>
    </xf>
    <xf numFmtId="3" fontId="0" fillId="0" borderId="0" xfId="0" applyNumberFormat="1"/>
    <xf numFmtId="0" fontId="1" fillId="4" borderId="0" xfId="0" applyFont="1" applyFill="1"/>
    <xf numFmtId="0" fontId="1" fillId="2" borderId="0" xfId="0" applyFont="1" applyFill="1"/>
    <xf numFmtId="0" fontId="7" fillId="2" borderId="0" xfId="0" applyFont="1" applyFill="1"/>
    <xf numFmtId="0" fontId="0" fillId="3" borderId="0" xfId="0" applyFill="1" applyAlignment="1">
      <alignment horizontal="center"/>
    </xf>
    <xf numFmtId="0" fontId="0" fillId="0" borderId="0" xfId="0" applyAlignment="1">
      <alignment horizontal="center"/>
    </xf>
  </cellXfs>
  <cellStyles count="1">
    <cellStyle name="Normal" xfId="0" builtinId="0"/>
  </cellStyles>
  <dxfs count="33">
    <dxf>
      <numFmt numFmtId="164" formatCode="#,##0,,\ &quot;M&quot;"/>
    </dxf>
    <dxf>
      <numFmt numFmtId="164" formatCode="#,##0,,\ &quot;M&quot;"/>
    </dxf>
    <dxf>
      <numFmt numFmtId="2" formatCode="0.00"/>
    </dxf>
    <dxf>
      <numFmt numFmtId="2" formatCode="0.00"/>
    </dxf>
    <dxf>
      <numFmt numFmtId="165" formatCode="#,##0&quot;K&quot;"/>
    </dxf>
    <dxf>
      <numFmt numFmtId="2" formatCode="0.00"/>
    </dxf>
    <dxf>
      <numFmt numFmtId="164" formatCode="#,##0,,\ &quot;M&quot;"/>
    </dxf>
    <dxf>
      <numFmt numFmtId="2" formatCode="0.00"/>
    </dxf>
    <dxf>
      <numFmt numFmtId="2" formatCode="0.00"/>
    </dxf>
    <dxf>
      <numFmt numFmtId="165" formatCode="#,##0&quot;K&quot;"/>
    </dxf>
    <dxf>
      <numFmt numFmtId="2" formatCode="0.00"/>
    </dxf>
    <dxf>
      <numFmt numFmtId="165" formatCode="#,##0&quot;K&quot;"/>
    </dxf>
    <dxf>
      <numFmt numFmtId="2" formatCode="0.00"/>
    </dxf>
    <dxf>
      <numFmt numFmtId="2" formatCode="0.00"/>
    </dxf>
    <dxf>
      <numFmt numFmtId="165" formatCode="#,##0&quot;K&quot;"/>
    </dxf>
    <dxf>
      <numFmt numFmtId="2" formatCode="0.00"/>
    </dxf>
    <dxf>
      <numFmt numFmtId="14" formatCode="0.00%"/>
    </dxf>
    <dxf>
      <numFmt numFmtId="0" formatCode="General"/>
    </dxf>
    <dxf>
      <numFmt numFmtId="165" formatCode="#,##0&quot;K&quot;"/>
    </dxf>
    <dxf>
      <numFmt numFmtId="2" formatCode="0.00"/>
    </dxf>
    <dxf>
      <numFmt numFmtId="165" formatCode="#,##0&quot;K&quot;"/>
    </dxf>
    <dxf>
      <numFmt numFmtId="4" formatCode="#,##0.00"/>
    </dxf>
    <dxf>
      <numFmt numFmtId="165" formatCode="#,##0&quot;K&quot;"/>
    </dxf>
    <dxf>
      <numFmt numFmtId="165" formatCode="#,##0&quot;K&quot;"/>
    </dxf>
    <dxf>
      <numFmt numFmtId="3" formatCode="#,##0"/>
    </dxf>
    <dxf>
      <numFmt numFmtId="165" formatCode="#,##0&quot;K&quot;"/>
    </dxf>
    <dxf>
      <numFmt numFmtId="2" formatCode="0.00"/>
    </dxf>
    <dxf>
      <numFmt numFmtId="165" formatCode="#,##0&quot;K&quot;"/>
    </dxf>
    <dxf>
      <numFmt numFmtId="164" formatCode="#,##0,,\ &quot;M&quot;"/>
    </dxf>
    <dxf>
      <numFmt numFmtId="2" formatCode="0.00"/>
    </dxf>
    <dxf>
      <numFmt numFmtId="165" formatCode="#,##0&quot;K&quot;"/>
    </dxf>
    <dxf>
      <numFmt numFmtId="2" formatCode="0.00"/>
    </dxf>
    <dxf>
      <numFmt numFmtId="164" formatCode="#,##0,,\ &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used.xlsx]Merge1!PivotTable13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ROI and Acqusition by Data </a:t>
            </a:r>
          </a:p>
        </c:rich>
      </c:tx>
      <c:layout>
        <c:manualLayout>
          <c:xMode val="edge"/>
          <c:yMode val="edge"/>
          <c:x val="0.16069740461873336"/>
          <c:y val="0.1185182969150132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25400" dir="5400000" algn="ctr" rotWithShape="0">
              <a:srgbClr val="000000">
                <a:alpha val="6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Merge1!$B$12</c:f>
              <c:strCache>
                <c:ptCount val="1"/>
                <c:pt idx="0">
                  <c:v>Average of ROI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25400" dir="5400000" algn="ctr" rotWithShape="0">
                <a:srgbClr val="000000">
                  <a:alpha val="65000"/>
                </a:srgbClr>
              </a:outerShdw>
            </a:effectLst>
          </c:spPr>
          <c:invertIfNegative val="0"/>
          <c:cat>
            <c:strRef>
              <c:f>Merge1!$A$13:$A$25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Merge1!$B$13:$B$25</c:f>
              <c:numCache>
                <c:formatCode>0.00</c:formatCode>
                <c:ptCount val="12"/>
                <c:pt idx="0">
                  <c:v>3.2482758620689665</c:v>
                </c:pt>
                <c:pt idx="1">
                  <c:v>3.2647619047619059</c:v>
                </c:pt>
                <c:pt idx="2">
                  <c:v>3.4840579710144937</c:v>
                </c:pt>
                <c:pt idx="3">
                  <c:v>3.285000000000001</c:v>
                </c:pt>
                <c:pt idx="4">
                  <c:v>3.2536231884057982</c:v>
                </c:pt>
                <c:pt idx="5">
                  <c:v>3.3138888888888882</c:v>
                </c:pt>
                <c:pt idx="6">
                  <c:v>3.2000000000000015</c:v>
                </c:pt>
                <c:pt idx="7">
                  <c:v>3.2989010989011014</c:v>
                </c:pt>
                <c:pt idx="8">
                  <c:v>3.1999999999999993</c:v>
                </c:pt>
                <c:pt idx="9">
                  <c:v>3.3551282051282052</c:v>
                </c:pt>
                <c:pt idx="10">
                  <c:v>3.3142857142857145</c:v>
                </c:pt>
                <c:pt idx="11">
                  <c:v>3.144565217391305</c:v>
                </c:pt>
              </c:numCache>
            </c:numRef>
          </c:val>
          <c:extLst>
            <c:ext xmlns:c16="http://schemas.microsoft.com/office/drawing/2014/chart" uri="{C3380CC4-5D6E-409C-BE32-E72D297353CC}">
              <c16:uniqueId val="{00000000-C8A0-4CF0-9958-41B2C33D8101}"/>
            </c:ext>
          </c:extLst>
        </c:ser>
        <c:dLbls>
          <c:showLegendKey val="0"/>
          <c:showVal val="0"/>
          <c:showCatName val="0"/>
          <c:showSerName val="0"/>
          <c:showPercent val="0"/>
          <c:showBubbleSize val="0"/>
        </c:dLbls>
        <c:gapWidth val="219"/>
        <c:overlap val="-27"/>
        <c:axId val="899409007"/>
        <c:axId val="899411407"/>
      </c:barChart>
      <c:lineChart>
        <c:grouping val="standard"/>
        <c:varyColors val="0"/>
        <c:ser>
          <c:idx val="1"/>
          <c:order val="1"/>
          <c:tx>
            <c:strRef>
              <c:f>Merge1!$C$12</c:f>
              <c:strCache>
                <c:ptCount val="1"/>
                <c:pt idx="0">
                  <c:v>Sum of Acquisition_Cost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Merge1!$A$13:$A$25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Merge1!$C$13:$C$25</c:f>
              <c:numCache>
                <c:formatCode>#,##0"K"</c:formatCode>
                <c:ptCount val="12"/>
                <c:pt idx="0">
                  <c:v>168368</c:v>
                </c:pt>
                <c:pt idx="1">
                  <c:v>200927</c:v>
                </c:pt>
                <c:pt idx="2">
                  <c:v>136743</c:v>
                </c:pt>
                <c:pt idx="3">
                  <c:v>152168</c:v>
                </c:pt>
                <c:pt idx="4">
                  <c:v>134035</c:v>
                </c:pt>
                <c:pt idx="5">
                  <c:v>136673</c:v>
                </c:pt>
                <c:pt idx="6">
                  <c:v>169806</c:v>
                </c:pt>
                <c:pt idx="7">
                  <c:v>165354</c:v>
                </c:pt>
                <c:pt idx="8">
                  <c:v>178664</c:v>
                </c:pt>
                <c:pt idx="9">
                  <c:v>149244</c:v>
                </c:pt>
                <c:pt idx="10">
                  <c:v>145464</c:v>
                </c:pt>
                <c:pt idx="11">
                  <c:v>171210</c:v>
                </c:pt>
              </c:numCache>
            </c:numRef>
          </c:val>
          <c:smooth val="0"/>
          <c:extLst>
            <c:ext xmlns:c16="http://schemas.microsoft.com/office/drawing/2014/chart" uri="{C3380CC4-5D6E-409C-BE32-E72D297353CC}">
              <c16:uniqueId val="{00000001-C8A0-4CF0-9958-41B2C33D8101}"/>
            </c:ext>
          </c:extLst>
        </c:ser>
        <c:dLbls>
          <c:showLegendKey val="0"/>
          <c:showVal val="0"/>
          <c:showCatName val="0"/>
          <c:showSerName val="0"/>
          <c:showPercent val="0"/>
          <c:showBubbleSize val="0"/>
        </c:dLbls>
        <c:marker val="1"/>
        <c:smooth val="0"/>
        <c:axId val="283319887"/>
        <c:axId val="283317487"/>
      </c:lineChart>
      <c:catAx>
        <c:axId val="8994090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411407"/>
        <c:crosses val="autoZero"/>
        <c:auto val="1"/>
        <c:lblAlgn val="ctr"/>
        <c:lblOffset val="100"/>
        <c:noMultiLvlLbl val="0"/>
      </c:catAx>
      <c:valAx>
        <c:axId val="8994114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9409007"/>
        <c:crosses val="autoZero"/>
        <c:crossBetween val="between"/>
      </c:valAx>
      <c:valAx>
        <c:axId val="283317487"/>
        <c:scaling>
          <c:orientation val="minMax"/>
        </c:scaling>
        <c:delete val="0"/>
        <c:axPos val="r"/>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83319887"/>
        <c:crosses val="max"/>
        <c:crossBetween val="between"/>
        <c:dispUnits>
          <c:builtInUnit val="thousands"/>
        </c:dispUnits>
      </c:valAx>
      <c:catAx>
        <c:axId val="283319887"/>
        <c:scaling>
          <c:orientation val="minMax"/>
        </c:scaling>
        <c:delete val="1"/>
        <c:axPos val="b"/>
        <c:numFmt formatCode="General" sourceLinked="1"/>
        <c:majorTickMark val="none"/>
        <c:minorTickMark val="none"/>
        <c:tickLblPos val="nextTo"/>
        <c:crossAx val="283317487"/>
        <c:crosses val="autoZero"/>
        <c:auto val="1"/>
        <c:lblAlgn val="ctr"/>
        <c:lblOffset val="100"/>
        <c:noMultiLvlLbl val="0"/>
      </c:catAx>
      <c:spPr>
        <a:noFill/>
        <a:ln>
          <a:noFill/>
        </a:ln>
        <a:effectLst/>
      </c:spPr>
    </c:plotArea>
    <c:legend>
      <c:legendPos val="t"/>
      <c:layout>
        <c:manualLayout>
          <c:xMode val="edge"/>
          <c:yMode val="edge"/>
          <c:x val="2.5507565230816737E-2"/>
          <c:y val="2.2645383612762689E-2"/>
          <c:w val="0.48529984132211612"/>
          <c:h val="0.10064685920597963"/>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used.xlsx]Merge1!PivotTable14</c:name>
    <c:fmtId val="2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Impression and clicks by Date</a:t>
            </a:r>
          </a:p>
        </c:rich>
      </c:tx>
      <c:layout>
        <c:manualLayout>
          <c:xMode val="edge"/>
          <c:yMode val="edge"/>
          <c:x val="9.5638946032646832E-2"/>
          <c:y val="0.1154133417886522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Merge1!$B$27</c:f>
              <c:strCache>
                <c:ptCount val="1"/>
                <c:pt idx="0">
                  <c:v>Sum of Clicks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Merge1!$A$28:$A$40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Merge1!$B$28:$B$40</c:f>
              <c:numCache>
                <c:formatCode>#,##0"K"</c:formatCode>
                <c:ptCount val="12"/>
                <c:pt idx="0">
                  <c:v>744528</c:v>
                </c:pt>
                <c:pt idx="1">
                  <c:v>826094</c:v>
                </c:pt>
                <c:pt idx="2">
                  <c:v>549808</c:v>
                </c:pt>
                <c:pt idx="3">
                  <c:v>661143</c:v>
                </c:pt>
                <c:pt idx="4">
                  <c:v>500675</c:v>
                </c:pt>
                <c:pt idx="5">
                  <c:v>592471</c:v>
                </c:pt>
                <c:pt idx="6">
                  <c:v>754919</c:v>
                </c:pt>
                <c:pt idx="7">
                  <c:v>781660</c:v>
                </c:pt>
                <c:pt idx="8">
                  <c:v>686038</c:v>
                </c:pt>
                <c:pt idx="9">
                  <c:v>671882</c:v>
                </c:pt>
                <c:pt idx="10">
                  <c:v>553496</c:v>
                </c:pt>
                <c:pt idx="11">
                  <c:v>682266</c:v>
                </c:pt>
              </c:numCache>
            </c:numRef>
          </c:val>
          <c:extLst>
            <c:ext xmlns:c16="http://schemas.microsoft.com/office/drawing/2014/chart" uri="{C3380CC4-5D6E-409C-BE32-E72D297353CC}">
              <c16:uniqueId val="{00000000-4B6B-4A5F-8372-4EFAECD165BC}"/>
            </c:ext>
          </c:extLst>
        </c:ser>
        <c:dLbls>
          <c:showLegendKey val="0"/>
          <c:showVal val="0"/>
          <c:showCatName val="0"/>
          <c:showSerName val="0"/>
          <c:showPercent val="0"/>
          <c:showBubbleSize val="0"/>
        </c:dLbls>
        <c:gapWidth val="219"/>
        <c:overlap val="-27"/>
        <c:axId val="365650703"/>
        <c:axId val="365649263"/>
      </c:barChart>
      <c:lineChart>
        <c:grouping val="standard"/>
        <c:varyColors val="0"/>
        <c:ser>
          <c:idx val="1"/>
          <c:order val="1"/>
          <c:tx>
            <c:strRef>
              <c:f>Merge1!$C$27</c:f>
              <c:strCache>
                <c:ptCount val="1"/>
                <c:pt idx="0">
                  <c:v>Sum of Impressions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Merge1!$A$28:$A$40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Merge1!$C$28:$C$40</c:f>
              <c:numCache>
                <c:formatCode>#,##0</c:formatCode>
                <c:ptCount val="12"/>
                <c:pt idx="0">
                  <c:v>5612839</c:v>
                </c:pt>
                <c:pt idx="1">
                  <c:v>7177135</c:v>
                </c:pt>
                <c:pt idx="2">
                  <c:v>4941324</c:v>
                </c:pt>
                <c:pt idx="3">
                  <c:v>6180533</c:v>
                </c:pt>
                <c:pt idx="4">
                  <c:v>4835250</c:v>
                </c:pt>
                <c:pt idx="5">
                  <c:v>4837442</c:v>
                </c:pt>
                <c:pt idx="6">
                  <c:v>6099383</c:v>
                </c:pt>
                <c:pt idx="7">
                  <c:v>6587523</c:v>
                </c:pt>
                <c:pt idx="8">
                  <c:v>6714208</c:v>
                </c:pt>
                <c:pt idx="9">
                  <c:v>5375043</c:v>
                </c:pt>
                <c:pt idx="10">
                  <c:v>5163139</c:v>
                </c:pt>
                <c:pt idx="11">
                  <c:v>6686670</c:v>
                </c:pt>
              </c:numCache>
            </c:numRef>
          </c:val>
          <c:smooth val="0"/>
          <c:extLst>
            <c:ext xmlns:c16="http://schemas.microsoft.com/office/drawing/2014/chart" uri="{C3380CC4-5D6E-409C-BE32-E72D297353CC}">
              <c16:uniqueId val="{00000001-4B6B-4A5F-8372-4EFAECD165BC}"/>
            </c:ext>
          </c:extLst>
        </c:ser>
        <c:dLbls>
          <c:showLegendKey val="0"/>
          <c:showVal val="0"/>
          <c:showCatName val="0"/>
          <c:showSerName val="0"/>
          <c:showPercent val="0"/>
          <c:showBubbleSize val="0"/>
        </c:dLbls>
        <c:marker val="1"/>
        <c:smooth val="0"/>
        <c:axId val="899409487"/>
        <c:axId val="367640399"/>
      </c:lineChart>
      <c:catAx>
        <c:axId val="3656507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49263"/>
        <c:crosses val="autoZero"/>
        <c:auto val="1"/>
        <c:lblAlgn val="ctr"/>
        <c:lblOffset val="100"/>
        <c:noMultiLvlLbl val="0"/>
      </c:catAx>
      <c:valAx>
        <c:axId val="365649263"/>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5650703"/>
        <c:crosses val="autoZero"/>
        <c:crossBetween val="between"/>
      </c:valAx>
      <c:valAx>
        <c:axId val="36764039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409487"/>
        <c:crosses val="max"/>
        <c:crossBetween val="between"/>
      </c:valAx>
      <c:catAx>
        <c:axId val="899409487"/>
        <c:scaling>
          <c:orientation val="minMax"/>
        </c:scaling>
        <c:delete val="1"/>
        <c:axPos val="b"/>
        <c:numFmt formatCode="General" sourceLinked="1"/>
        <c:majorTickMark val="none"/>
        <c:minorTickMark val="none"/>
        <c:tickLblPos val="nextTo"/>
        <c:crossAx val="367640399"/>
        <c:crosses val="autoZero"/>
        <c:auto val="1"/>
        <c:lblAlgn val="ctr"/>
        <c:lblOffset val="100"/>
        <c:noMultiLvlLbl val="0"/>
      </c:catAx>
      <c:spPr>
        <a:noFill/>
        <a:ln>
          <a:noFill/>
        </a:ln>
        <a:effectLst/>
      </c:spPr>
    </c:plotArea>
    <c:legend>
      <c:legendPos val="t"/>
      <c:layout>
        <c:manualLayout>
          <c:xMode val="edge"/>
          <c:yMode val="edge"/>
          <c:x val="0.10141294838145234"/>
          <c:y val="1.3888888888888888E-2"/>
          <c:w val="0.42187799572912327"/>
          <c:h val="0.104210246849827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used.xlsx]Merge1!PivotTable15</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Engagment</a:t>
            </a:r>
            <a:r>
              <a:rPr lang="en-US" b="1" baseline="0"/>
              <a:t> </a:t>
            </a:r>
            <a:r>
              <a:rPr lang="en-US" b="1" baseline="0">
                <a:solidFill>
                  <a:sysClr val="windowText" lastClr="000000"/>
                </a:solidFill>
              </a:rPr>
              <a:t>Score By Date </a:t>
            </a:r>
            <a:endParaRPr lang="ar-EG"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Merge1!$F$27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Merge1!$E$28:$E$40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Merge1!$F$28:$F$40</c:f>
              <c:numCache>
                <c:formatCode>#,##0"K"</c:formatCode>
                <c:ptCount val="12"/>
                <c:pt idx="0">
                  <c:v>6614</c:v>
                </c:pt>
                <c:pt idx="1">
                  <c:v>7840</c:v>
                </c:pt>
                <c:pt idx="2">
                  <c:v>5204</c:v>
                </c:pt>
                <c:pt idx="3">
                  <c:v>6062</c:v>
                </c:pt>
                <c:pt idx="4">
                  <c:v>5172</c:v>
                </c:pt>
                <c:pt idx="5">
                  <c:v>5410</c:v>
                </c:pt>
                <c:pt idx="6">
                  <c:v>6743</c:v>
                </c:pt>
                <c:pt idx="7">
                  <c:v>7036</c:v>
                </c:pt>
                <c:pt idx="8">
                  <c:v>6881</c:v>
                </c:pt>
                <c:pt idx="9">
                  <c:v>6071</c:v>
                </c:pt>
                <c:pt idx="10">
                  <c:v>5810</c:v>
                </c:pt>
                <c:pt idx="11">
                  <c:v>6757</c:v>
                </c:pt>
              </c:numCache>
            </c:numRef>
          </c:val>
          <c:smooth val="0"/>
          <c:extLst>
            <c:ext xmlns:c16="http://schemas.microsoft.com/office/drawing/2014/chart" uri="{C3380CC4-5D6E-409C-BE32-E72D297353CC}">
              <c16:uniqueId val="{00000000-54BB-45D3-88A3-D95BF9A6ECF4}"/>
            </c:ext>
          </c:extLst>
        </c:ser>
        <c:dLbls>
          <c:dLblPos val="t"/>
          <c:showLegendKey val="0"/>
          <c:showVal val="1"/>
          <c:showCatName val="0"/>
          <c:showSerName val="0"/>
          <c:showPercent val="0"/>
          <c:showBubbleSize val="0"/>
        </c:dLbls>
        <c:smooth val="0"/>
        <c:axId val="841112543"/>
        <c:axId val="841112063"/>
      </c:lineChart>
      <c:catAx>
        <c:axId val="84111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12063"/>
        <c:crosses val="autoZero"/>
        <c:auto val="1"/>
        <c:lblAlgn val="ctr"/>
        <c:lblOffset val="100"/>
        <c:noMultiLvlLbl val="0"/>
      </c:catAx>
      <c:valAx>
        <c:axId val="841112063"/>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1112543"/>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used.xlsx]Merge1!PivotTable16</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Conversion rate by Date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pivotFmt>
      <c:pivotFmt>
        <c:idx val="22"/>
        <c:spPr>
          <a:ln w="28575" cap="rnd">
            <a:solidFill>
              <a:schemeClr val="accent1"/>
            </a:solidFill>
            <a:round/>
          </a:ln>
          <a:effectLst/>
        </c:spPr>
        <c:marker>
          <c:symbol val="none"/>
        </c:marker>
      </c:pivotFmt>
      <c:pivotFmt>
        <c:idx val="23"/>
        <c:spPr>
          <a:ln w="28575" cap="rnd">
            <a:solidFill>
              <a:schemeClr val="accent1"/>
            </a:solidFill>
            <a:round/>
          </a:ln>
          <a:effectLst/>
        </c:spPr>
        <c:marker>
          <c:symbol val="none"/>
        </c:marker>
      </c:pivotFmt>
      <c:pivotFmt>
        <c:idx val="24"/>
        <c:spPr>
          <a:ln w="28575" cap="rnd">
            <a:solidFill>
              <a:schemeClr val="accent1"/>
            </a:solidFill>
            <a:round/>
          </a:ln>
          <a:effectLst/>
        </c:spPr>
        <c:marker>
          <c:symbol val="none"/>
        </c:marker>
      </c:pivotFmt>
      <c:pivotFmt>
        <c:idx val="25"/>
        <c:spPr>
          <a:ln w="28575" cap="rnd">
            <a:solidFill>
              <a:schemeClr val="accent1"/>
            </a:solidFill>
            <a:round/>
          </a:ln>
          <a:effectLst/>
        </c:spPr>
        <c:marker>
          <c:symbol val="none"/>
        </c:marker>
      </c:pivotFmt>
      <c:pivotFmt>
        <c:idx val="26"/>
        <c:spPr>
          <a:ln w="28575" cap="rnd">
            <a:solidFill>
              <a:schemeClr val="accent1"/>
            </a:solidFill>
            <a:round/>
          </a:ln>
          <a:effectLst/>
        </c:spPr>
        <c:marker>
          <c:symbol val="none"/>
        </c:marker>
      </c:pivotFmt>
    </c:pivotFmts>
    <c:plotArea>
      <c:layout/>
      <c:lineChart>
        <c:grouping val="stacked"/>
        <c:varyColors val="0"/>
        <c:ser>
          <c:idx val="0"/>
          <c:order val="0"/>
          <c:tx>
            <c:strRef>
              <c:f>Merge1!$I$27</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F735-4474-B9DF-6C05153E0712}"/>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F735-4474-B9DF-6C05153E0712}"/>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F735-4474-B9DF-6C05153E0712}"/>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F735-4474-B9DF-6C05153E0712}"/>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9-F735-4474-B9DF-6C05153E0712}"/>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B-F735-4474-B9DF-6C05153E0712}"/>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D-F735-4474-B9DF-6C05153E0712}"/>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F-F735-4474-B9DF-6C05153E0712}"/>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11-F735-4474-B9DF-6C05153E0712}"/>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13-F735-4474-B9DF-6C05153E0712}"/>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15-F735-4474-B9DF-6C05153E0712}"/>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17-F735-4474-B9DF-6C05153E07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Merge1!$H$28:$H$40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Merge1!$I$28:$I$40</c:f>
              <c:numCache>
                <c:formatCode>0.00%</c:formatCode>
                <c:ptCount val="12"/>
                <c:pt idx="0">
                  <c:v>8.6907091110993581E-2</c:v>
                </c:pt>
                <c:pt idx="1">
                  <c:v>0.10248003807307911</c:v>
                </c:pt>
                <c:pt idx="2">
                  <c:v>7.0131140605996525E-2</c:v>
                </c:pt>
                <c:pt idx="3">
                  <c:v>8.2504891333086569E-2</c:v>
                </c:pt>
                <c:pt idx="4">
                  <c:v>6.9615567659034427E-2</c:v>
                </c:pt>
                <c:pt idx="5">
                  <c:v>7.2418169319443726E-2</c:v>
                </c:pt>
                <c:pt idx="6">
                  <c:v>8.7792818994236202E-2</c:v>
                </c:pt>
                <c:pt idx="7">
                  <c:v>9.1864523293321329E-2</c:v>
                </c:pt>
                <c:pt idx="8">
                  <c:v>9.1930622389085698E-2</c:v>
                </c:pt>
                <c:pt idx="9">
                  <c:v>8.1539844534926742E-2</c:v>
                </c:pt>
                <c:pt idx="10">
                  <c:v>7.7084765480408227E-2</c:v>
                </c:pt>
                <c:pt idx="11">
                  <c:v>8.5730527206387852E-2</c:v>
                </c:pt>
              </c:numCache>
            </c:numRef>
          </c:val>
          <c:smooth val="0"/>
          <c:extLst>
            <c:ext xmlns:c16="http://schemas.microsoft.com/office/drawing/2014/chart" uri="{C3380CC4-5D6E-409C-BE32-E72D297353CC}">
              <c16:uniqueId val="{00000018-F735-4474-B9DF-6C05153E0712}"/>
            </c:ext>
          </c:extLst>
        </c:ser>
        <c:dLbls>
          <c:dLblPos val="t"/>
          <c:showLegendKey val="0"/>
          <c:showVal val="1"/>
          <c:showCatName val="0"/>
          <c:showSerName val="0"/>
          <c:showPercent val="0"/>
          <c:showBubbleSize val="0"/>
        </c:dLbls>
        <c:smooth val="0"/>
        <c:axId val="371908143"/>
        <c:axId val="371905743"/>
      </c:lineChart>
      <c:catAx>
        <c:axId val="371908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905743"/>
        <c:crosses val="autoZero"/>
        <c:auto val="1"/>
        <c:lblAlgn val="ctr"/>
        <c:lblOffset val="100"/>
        <c:noMultiLvlLbl val="0"/>
      </c:catAx>
      <c:valAx>
        <c:axId val="37190574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190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used.xlsx]Merge1!PivotTable17</c:name>
    <c:fmtId val="48"/>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ROI &amp; Acquisition by campain-type </a:t>
            </a:r>
          </a:p>
        </c:rich>
      </c:tx>
      <c:layout>
        <c:manualLayout>
          <c:xMode val="edge"/>
          <c:yMode val="edge"/>
          <c:x val="0.21873600174978131"/>
          <c:y val="0.1481481481481481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Merge1!$J$5</c:f>
              <c:strCache>
                <c:ptCount val="1"/>
                <c:pt idx="0">
                  <c:v>Sum of Acquisition_Cost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Merge1!$I$6:$I$11</c:f>
              <c:strCache>
                <c:ptCount val="5"/>
                <c:pt idx="0">
                  <c:v>Display</c:v>
                </c:pt>
                <c:pt idx="1">
                  <c:v>Email</c:v>
                </c:pt>
                <c:pt idx="2">
                  <c:v>Influencer</c:v>
                </c:pt>
                <c:pt idx="3">
                  <c:v>Search</c:v>
                </c:pt>
                <c:pt idx="4">
                  <c:v>Social Media</c:v>
                </c:pt>
              </c:strCache>
            </c:strRef>
          </c:cat>
          <c:val>
            <c:numRef>
              <c:f>Merge1!$J$6:$J$11</c:f>
              <c:numCache>
                <c:formatCode>#,##0"K"</c:formatCode>
                <c:ptCount val="5"/>
                <c:pt idx="0">
                  <c:v>392705</c:v>
                </c:pt>
                <c:pt idx="1">
                  <c:v>389975</c:v>
                </c:pt>
                <c:pt idx="2">
                  <c:v>433410</c:v>
                </c:pt>
                <c:pt idx="3">
                  <c:v>326070</c:v>
                </c:pt>
                <c:pt idx="4">
                  <c:v>366496</c:v>
                </c:pt>
              </c:numCache>
            </c:numRef>
          </c:val>
          <c:extLst>
            <c:ext xmlns:c16="http://schemas.microsoft.com/office/drawing/2014/chart" uri="{C3380CC4-5D6E-409C-BE32-E72D297353CC}">
              <c16:uniqueId val="{00000000-6D43-4141-AC39-A2EAEDC6FBE5}"/>
            </c:ext>
          </c:extLst>
        </c:ser>
        <c:dLbls>
          <c:dLblPos val="outEnd"/>
          <c:showLegendKey val="0"/>
          <c:showVal val="1"/>
          <c:showCatName val="0"/>
          <c:showSerName val="0"/>
          <c:showPercent val="0"/>
          <c:showBubbleSize val="0"/>
        </c:dLbls>
        <c:gapWidth val="219"/>
        <c:overlap val="-27"/>
        <c:axId val="367901775"/>
        <c:axId val="367911375"/>
      </c:barChart>
      <c:lineChart>
        <c:grouping val="standard"/>
        <c:varyColors val="0"/>
        <c:ser>
          <c:idx val="1"/>
          <c:order val="1"/>
          <c:tx>
            <c:strRef>
              <c:f>Merge1!$K$5</c:f>
              <c:strCache>
                <c:ptCount val="1"/>
                <c:pt idx="0">
                  <c:v>Average of ROI</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Merge1!$I$6:$I$11</c:f>
              <c:strCache>
                <c:ptCount val="5"/>
                <c:pt idx="0">
                  <c:v>Display</c:v>
                </c:pt>
                <c:pt idx="1">
                  <c:v>Email</c:v>
                </c:pt>
                <c:pt idx="2">
                  <c:v>Influencer</c:v>
                </c:pt>
                <c:pt idx="3">
                  <c:v>Search</c:v>
                </c:pt>
                <c:pt idx="4">
                  <c:v>Social Media</c:v>
                </c:pt>
              </c:strCache>
            </c:strRef>
          </c:cat>
          <c:val>
            <c:numRef>
              <c:f>Merge1!$K$6:$K$11</c:f>
              <c:numCache>
                <c:formatCode>0.00</c:formatCode>
                <c:ptCount val="5"/>
                <c:pt idx="0">
                  <c:v>3.2806763285024161</c:v>
                </c:pt>
                <c:pt idx="1">
                  <c:v>3.290099009900989</c:v>
                </c:pt>
                <c:pt idx="2">
                  <c:v>3.157589285714284</c:v>
                </c:pt>
                <c:pt idx="3">
                  <c:v>3.4022988505747112</c:v>
                </c:pt>
                <c:pt idx="4">
                  <c:v>3.2695876288659784</c:v>
                </c:pt>
              </c:numCache>
            </c:numRef>
          </c:val>
          <c:smooth val="0"/>
          <c:extLst>
            <c:ext xmlns:c16="http://schemas.microsoft.com/office/drawing/2014/chart" uri="{C3380CC4-5D6E-409C-BE32-E72D297353CC}">
              <c16:uniqueId val="{00000001-6D43-4141-AC39-A2EAEDC6FBE5}"/>
            </c:ext>
          </c:extLst>
        </c:ser>
        <c:dLbls>
          <c:showLegendKey val="0"/>
          <c:showVal val="1"/>
          <c:showCatName val="0"/>
          <c:showSerName val="0"/>
          <c:showPercent val="0"/>
          <c:showBubbleSize val="0"/>
        </c:dLbls>
        <c:marker val="1"/>
        <c:smooth val="0"/>
        <c:axId val="365651183"/>
        <c:axId val="365651663"/>
      </c:lineChart>
      <c:catAx>
        <c:axId val="365651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365651663"/>
        <c:crosses val="autoZero"/>
        <c:auto val="1"/>
        <c:lblAlgn val="ctr"/>
        <c:lblOffset val="100"/>
        <c:noMultiLvlLbl val="0"/>
      </c:catAx>
      <c:valAx>
        <c:axId val="3656516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365651183"/>
        <c:crosses val="autoZero"/>
        <c:crossBetween val="between"/>
      </c:valAx>
      <c:valAx>
        <c:axId val="367911375"/>
        <c:scaling>
          <c:orientation val="minMax"/>
        </c:scaling>
        <c:delete val="0"/>
        <c:axPos val="r"/>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367901775"/>
        <c:crosses val="max"/>
        <c:crossBetween val="between"/>
        <c:dispUnits>
          <c:builtInUnit val="thousands"/>
        </c:dispUnits>
      </c:valAx>
      <c:catAx>
        <c:axId val="367901775"/>
        <c:scaling>
          <c:orientation val="minMax"/>
        </c:scaling>
        <c:delete val="1"/>
        <c:axPos val="b"/>
        <c:numFmt formatCode="General" sourceLinked="1"/>
        <c:majorTickMark val="none"/>
        <c:minorTickMark val="none"/>
        <c:tickLblPos val="nextTo"/>
        <c:crossAx val="367911375"/>
        <c:crosses val="autoZero"/>
        <c:auto val="1"/>
        <c:lblAlgn val="ctr"/>
        <c:lblOffset val="100"/>
        <c:noMultiLvlLbl val="0"/>
      </c:catAx>
      <c:spPr>
        <a:noFill/>
        <a:ln>
          <a:noFill/>
        </a:ln>
        <a:effectLst/>
      </c:spPr>
    </c:plotArea>
    <c:legend>
      <c:legendPos val="t"/>
      <c:legendEntry>
        <c:idx val="0"/>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Entry>
      <c:layout>
        <c:manualLayout>
          <c:xMode val="edge"/>
          <c:yMode val="edge"/>
          <c:x val="0.16424868766404199"/>
          <c:y val="4.6712962962962977E-2"/>
          <c:w val="0.38223598872231701"/>
          <c:h val="8.60879960280798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used.xlsx]Merge1!PivotTable18</c:name>
    <c:fmtId val="6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impression &amp; Clicks  by campain_type</a:t>
            </a:r>
          </a:p>
        </c:rich>
      </c:tx>
      <c:layout>
        <c:manualLayout>
          <c:xMode val="edge"/>
          <c:yMode val="edge"/>
          <c:x val="0.25140481290713224"/>
          <c:y val="0.139842924463191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s>
    <c:plotArea>
      <c:layout/>
      <c:barChart>
        <c:barDir val="col"/>
        <c:grouping val="clustered"/>
        <c:varyColors val="0"/>
        <c:ser>
          <c:idx val="0"/>
          <c:order val="0"/>
          <c:tx>
            <c:strRef>
              <c:f>Merge1!$J$14</c:f>
              <c:strCache>
                <c:ptCount val="1"/>
                <c:pt idx="0">
                  <c:v>Sum of Impressions</c:v>
                </c:pt>
              </c:strCache>
            </c:strRef>
          </c:tx>
          <c:spPr>
            <a:solidFill>
              <a:schemeClr val="accent1"/>
            </a:solidFill>
            <a:ln>
              <a:noFill/>
            </a:ln>
            <a:effectLst/>
          </c:spPr>
          <c:invertIfNegative val="0"/>
          <c:cat>
            <c:strRef>
              <c:f>Merge1!$I$15:$I$20</c:f>
              <c:strCache>
                <c:ptCount val="5"/>
                <c:pt idx="0">
                  <c:v>Display</c:v>
                </c:pt>
                <c:pt idx="1">
                  <c:v>Email</c:v>
                </c:pt>
                <c:pt idx="2">
                  <c:v>Influencer</c:v>
                </c:pt>
                <c:pt idx="3">
                  <c:v>Search</c:v>
                </c:pt>
                <c:pt idx="4">
                  <c:v>Social Media</c:v>
                </c:pt>
              </c:strCache>
            </c:strRef>
          </c:cat>
          <c:val>
            <c:numRef>
              <c:f>Merge1!$J$15:$J$20</c:f>
              <c:numCache>
                <c:formatCode>0.00%</c:formatCode>
                <c:ptCount val="5"/>
                <c:pt idx="0">
                  <c:v>0.20194183521496339</c:v>
                </c:pt>
                <c:pt idx="1">
                  <c:v>0.21029111476491782</c:v>
                </c:pt>
                <c:pt idx="2">
                  <c:v>0.22212330696058818</c:v>
                </c:pt>
                <c:pt idx="3">
                  <c:v>0.17134431295586047</c:v>
                </c:pt>
                <c:pt idx="4">
                  <c:v>0.19429943010367012</c:v>
                </c:pt>
              </c:numCache>
            </c:numRef>
          </c:val>
          <c:extLst>
            <c:ext xmlns:c16="http://schemas.microsoft.com/office/drawing/2014/chart" uri="{C3380CC4-5D6E-409C-BE32-E72D297353CC}">
              <c16:uniqueId val="{00000000-0AAE-4366-B13A-0ABBA78C56D9}"/>
            </c:ext>
          </c:extLst>
        </c:ser>
        <c:ser>
          <c:idx val="1"/>
          <c:order val="1"/>
          <c:tx>
            <c:strRef>
              <c:f>Merge1!$K$14</c:f>
              <c:strCache>
                <c:ptCount val="1"/>
                <c:pt idx="0">
                  <c:v>Sum of Clicks</c:v>
                </c:pt>
              </c:strCache>
            </c:strRef>
          </c:tx>
          <c:spPr>
            <a:solidFill>
              <a:schemeClr val="accent2"/>
            </a:solidFill>
            <a:ln>
              <a:noFill/>
            </a:ln>
            <a:effectLst/>
          </c:spPr>
          <c:invertIfNegative val="0"/>
          <c:cat>
            <c:strRef>
              <c:f>Merge1!$I$15:$I$20</c:f>
              <c:strCache>
                <c:ptCount val="5"/>
                <c:pt idx="0">
                  <c:v>Display</c:v>
                </c:pt>
                <c:pt idx="1">
                  <c:v>Email</c:v>
                </c:pt>
                <c:pt idx="2">
                  <c:v>Influencer</c:v>
                </c:pt>
                <c:pt idx="3">
                  <c:v>Search</c:v>
                </c:pt>
                <c:pt idx="4">
                  <c:v>Social Media</c:v>
                </c:pt>
              </c:strCache>
            </c:strRef>
          </c:cat>
          <c:val>
            <c:numRef>
              <c:f>Merge1!$K$15:$K$20</c:f>
              <c:numCache>
                <c:formatCode>0.00%</c:formatCode>
                <c:ptCount val="5"/>
                <c:pt idx="0">
                  <c:v>0.209146181502015</c:v>
                </c:pt>
                <c:pt idx="1">
                  <c:v>0.20074191315905848</c:v>
                </c:pt>
                <c:pt idx="2">
                  <c:v>0.22878520620913481</c:v>
                </c:pt>
                <c:pt idx="3">
                  <c:v>0.16830048294936403</c:v>
                </c:pt>
                <c:pt idx="4">
                  <c:v>0.19302621618042767</c:v>
                </c:pt>
              </c:numCache>
            </c:numRef>
          </c:val>
          <c:extLst>
            <c:ext xmlns:c16="http://schemas.microsoft.com/office/drawing/2014/chart" uri="{C3380CC4-5D6E-409C-BE32-E72D297353CC}">
              <c16:uniqueId val="{00000001-0AAE-4366-B13A-0ABBA78C56D9}"/>
            </c:ext>
          </c:extLst>
        </c:ser>
        <c:dLbls>
          <c:showLegendKey val="0"/>
          <c:showVal val="0"/>
          <c:showCatName val="0"/>
          <c:showSerName val="0"/>
          <c:showPercent val="0"/>
          <c:showBubbleSize val="0"/>
        </c:dLbls>
        <c:gapWidth val="219"/>
        <c:axId val="284451679"/>
        <c:axId val="284454559"/>
      </c:barChart>
      <c:catAx>
        <c:axId val="28445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284454559"/>
        <c:crosses val="autoZero"/>
        <c:auto val="1"/>
        <c:lblAlgn val="ctr"/>
        <c:lblOffset val="100"/>
        <c:noMultiLvlLbl val="0"/>
      </c:catAx>
      <c:valAx>
        <c:axId val="2844545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84451679"/>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layout>
        <c:manualLayout>
          <c:xMode val="edge"/>
          <c:yMode val="edge"/>
          <c:x val="3.0030887771502927E-2"/>
          <c:y val="3.5410226230143858E-2"/>
          <c:w val="0.95387910584632696"/>
          <c:h val="8.4280923828471424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used.xlsx]Merge1!PivotTable19</c:name>
    <c:fmtId val="60"/>
  </c:pivotSource>
  <c:chart>
    <c:title>
      <c:tx>
        <c:rich>
          <a:bodyPr rot="0" spcFirstLastPara="1" vertOverflow="ellipsis" vert="horz" wrap="square" anchor="ctr" anchorCtr="1"/>
          <a:lstStyle/>
          <a:p>
            <a:pPr>
              <a:defRPr lang="en-US" sz="1400" b="1" i="0" u="none" strike="noStrike" kern="1200" cap="all" spc="50" baseline="0">
                <a:solidFill>
                  <a:schemeClr val="tx1"/>
                </a:solidFill>
                <a:effectLst/>
                <a:latin typeface="Aharoni" panose="02010803020104030203" pitchFamily="2" charset="-79"/>
                <a:ea typeface="+mn-ea"/>
                <a:cs typeface="Aharoni" panose="02010803020104030203" pitchFamily="2" charset="-79"/>
              </a:defRPr>
            </a:pPr>
            <a:r>
              <a:rPr lang="en-US" sz="1400"/>
              <a:t>Convesion rate by Campain-tybe</a:t>
            </a:r>
          </a:p>
        </c:rich>
      </c:tx>
      <c:overlay val="0"/>
      <c:spPr>
        <a:noFill/>
        <a:ln>
          <a:noFill/>
        </a:ln>
        <a:effectLst/>
      </c:spPr>
      <c:txPr>
        <a:bodyPr rot="0" spcFirstLastPara="1" vertOverflow="ellipsis" vert="horz" wrap="square" anchor="ctr" anchorCtr="1"/>
        <a:lstStyle/>
        <a:p>
          <a:pPr>
            <a:defRPr lang="en-US" sz="1400" b="1" i="0" u="none" strike="noStrike" kern="1200" cap="all" spc="50" baseline="0">
              <a:solidFill>
                <a:schemeClr val="tx1"/>
              </a:solidFill>
              <a:effectLst/>
              <a:latin typeface="Aharoni" panose="02010803020104030203" pitchFamily="2" charset="-79"/>
              <a:ea typeface="+mn-ea"/>
              <a:cs typeface="Aharoni" panose="02010803020104030203" pitchFamily="2" charset="-79"/>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tx1"/>
                  </a:solidFill>
                  <a:effectLst/>
                  <a:latin typeface="Aharoni" panose="02010803020104030203" pitchFamily="2" charset="-79"/>
                  <a:ea typeface="+mn-ea"/>
                  <a:cs typeface="Aharoni" panose="02010803020104030203" pitchFamily="2" charset="-79"/>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422000500178745"/>
              <c:y val="-0.14237149431214671"/>
            </c:manualLayout>
          </c:layout>
          <c:tx>
            <c:rich>
              <a:bodyPr rot="0" spcFirstLastPara="1" vertOverflow="ellipsis" vert="horz" wrap="square" anchor="ctr" anchorCtr="1"/>
              <a:lstStyle/>
              <a:p>
                <a:pPr>
                  <a:defRPr lang="en-US" sz="1400" b="1" i="0" u="none" strike="noStrike" kern="1200" baseline="0">
                    <a:solidFill>
                      <a:schemeClr val="tx1"/>
                    </a:solidFill>
                    <a:effectLst/>
                    <a:latin typeface="Aharoni" panose="02010803020104030203" pitchFamily="2" charset="-79"/>
                    <a:ea typeface="+mn-ea"/>
                    <a:cs typeface="Aharoni" panose="02010803020104030203" pitchFamily="2" charset="-79"/>
                  </a:defRPr>
                </a:pPr>
                <a:fld id="{5330BB32-CE89-4AFD-9949-121E63CC5594}" type="CATEGORYNAME">
                  <a:rPr lang="en-US"/>
                  <a:pPr>
                    <a:defRPr/>
                  </a:pPr>
                  <a:t>[CATEGORY NAME]</a:t>
                </a:fld>
                <a:r>
                  <a:rPr lang="en-US"/>
                  <a:t>
</a:t>
                </a:r>
                <a:fld id="{4115CF05-6AEF-48C2-92E5-F1FAE94E353A}" type="PERCENTAGE">
                  <a:rPr lang="en-US"/>
                  <a:pPr>
                    <a:defRPr/>
                  </a:pPr>
                  <a:t>[PERCENTAGE]</a:t>
                </a:fld>
                <a:endParaRPr lang="en-US"/>
              </a:p>
            </c:rich>
          </c:tx>
          <c:spPr>
            <a:noFill/>
            <a:ln>
              <a:noFill/>
            </a:ln>
            <a:effectLst/>
          </c:spPr>
          <c:txPr>
            <a:bodyPr rot="0" spcFirstLastPara="1" vertOverflow="ellipsis" vert="horz" wrap="square" anchor="ctr" anchorCtr="1"/>
            <a:lstStyle/>
            <a:p>
              <a:pPr>
                <a:defRPr lang="en-US" sz="1400" b="1" i="0" u="none" strike="noStrike" kern="1200" baseline="0">
                  <a:solidFill>
                    <a:schemeClr val="tx1"/>
                  </a:solidFill>
                  <a:effectLst/>
                  <a:latin typeface="Aharoni" panose="02010803020104030203" pitchFamily="2" charset="-79"/>
                  <a:ea typeface="+mn-ea"/>
                  <a:cs typeface="Aharoni" panose="02010803020104030203" pitchFamily="2" charset="-79"/>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511216431638905"/>
              <c:y val="-8.8982183945092511E-3"/>
            </c:manualLayout>
          </c:layout>
          <c:spPr>
            <a:noFill/>
            <a:ln>
              <a:noFill/>
            </a:ln>
            <a:effectLst/>
          </c:spPr>
          <c:txPr>
            <a:bodyPr rot="0" spcFirstLastPara="1" vertOverflow="ellipsis" vert="horz" wrap="square" anchor="ctr" anchorCtr="1"/>
            <a:lstStyle/>
            <a:p>
              <a:pPr>
                <a:defRPr lang="en-US" sz="1400" b="1" i="0" u="none" strike="noStrike" kern="1200" baseline="0">
                  <a:solidFill>
                    <a:schemeClr val="tx1"/>
                  </a:solidFill>
                  <a:effectLst/>
                  <a:latin typeface="Aharoni" panose="02010803020104030203" pitchFamily="2" charset="-79"/>
                  <a:ea typeface="+mn-ea"/>
                  <a:cs typeface="Aharoni" panose="02010803020104030203" pitchFamily="2" charset="-79"/>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41943450250537"/>
              <c:y val="7.4212634507958369E-2"/>
            </c:manualLayout>
          </c:layout>
          <c:spPr>
            <a:noFill/>
            <a:ln>
              <a:noFill/>
            </a:ln>
            <a:effectLst/>
          </c:spPr>
          <c:txPr>
            <a:bodyPr rot="0" spcFirstLastPara="1" vertOverflow="ellipsis" vert="horz" wrap="square" anchor="ctr" anchorCtr="1"/>
            <a:lstStyle/>
            <a:p>
              <a:pPr>
                <a:defRPr lang="en-US" sz="1400" b="1" i="0" u="none" strike="noStrike" kern="1200" baseline="0">
                  <a:solidFill>
                    <a:schemeClr val="tx1"/>
                  </a:solidFill>
                  <a:effectLst/>
                  <a:latin typeface="Aharoni" panose="02010803020104030203" pitchFamily="2" charset="-79"/>
                  <a:ea typeface="+mn-ea"/>
                  <a:cs typeface="Aharoni" panose="02010803020104030203" pitchFamily="2" charset="-79"/>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3169005010737297"/>
              <c:y val="3.8068644508348309E-3"/>
            </c:manualLayout>
          </c:layout>
          <c:spPr>
            <a:noFill/>
            <a:ln>
              <a:noFill/>
            </a:ln>
            <a:effectLst/>
          </c:spPr>
          <c:txPr>
            <a:bodyPr rot="0" spcFirstLastPara="1" vertOverflow="ellipsis" vert="horz" wrap="square" anchor="ctr" anchorCtr="1"/>
            <a:lstStyle/>
            <a:p>
              <a:pPr>
                <a:defRPr lang="en-US" sz="1400" b="1" i="0" u="none" strike="noStrike" kern="1200" baseline="0">
                  <a:solidFill>
                    <a:schemeClr val="tx1"/>
                  </a:solidFill>
                  <a:effectLst/>
                  <a:latin typeface="Aharoni" panose="02010803020104030203" pitchFamily="2" charset="-79"/>
                  <a:ea typeface="+mn-ea"/>
                  <a:cs typeface="Aharoni" panose="02010803020104030203" pitchFamily="2" charset="-79"/>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3883412323729186"/>
              <c:y val="-0.1245750575231284"/>
            </c:manualLayout>
          </c:layout>
          <c:spPr>
            <a:noFill/>
            <a:ln>
              <a:noFill/>
            </a:ln>
            <a:effectLst/>
          </c:spPr>
          <c:txPr>
            <a:bodyPr rot="0" spcFirstLastPara="1" vertOverflow="ellipsis" vert="horz" wrap="square" anchor="ctr" anchorCtr="1"/>
            <a:lstStyle/>
            <a:p>
              <a:pPr>
                <a:defRPr lang="en-US" sz="1400" b="1" i="0" u="none" strike="noStrike" kern="1200" baseline="0">
                  <a:solidFill>
                    <a:schemeClr val="tx1"/>
                  </a:solidFill>
                  <a:effectLst/>
                  <a:latin typeface="Aharoni" panose="02010803020104030203" pitchFamily="2" charset="-79"/>
                  <a:ea typeface="+mn-ea"/>
                  <a:cs typeface="Aharoni" panose="02010803020104030203" pitchFamily="2" charset="-79"/>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Merge1!$N$5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B74-48E5-A5B3-4F55739E73F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B74-48E5-A5B3-4F55739E73F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B74-48E5-A5B3-4F55739E73F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B74-48E5-A5B3-4F55739E73FE}"/>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B74-48E5-A5B3-4F55739E73FE}"/>
              </c:ext>
            </c:extLst>
          </c:dPt>
          <c:dLbls>
            <c:dLbl>
              <c:idx val="0"/>
              <c:layout>
                <c:manualLayout>
                  <c:x val="0.12422000500178745"/>
                  <c:y val="-0.14237149431214671"/>
                </c:manualLayout>
              </c:layout>
              <c:tx>
                <c:rich>
                  <a:bodyPr/>
                  <a:lstStyle/>
                  <a:p>
                    <a:fld id="{5330BB32-CE89-4AFD-9949-121E63CC5594}" type="CATEGORYNAME">
                      <a:rPr lang="en-US"/>
                      <a:pPr/>
                      <a:t>[CATEGORY NAME]</a:t>
                    </a:fld>
                    <a:r>
                      <a:rPr lang="en-US"/>
                      <a:t>
</a:t>
                    </a:r>
                    <a:fld id="{4115CF05-6AEF-48C2-92E5-F1FAE94E353A}"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B74-48E5-A5B3-4F55739E73FE}"/>
                </c:ext>
              </c:extLst>
            </c:dLbl>
            <c:dLbl>
              <c:idx val="1"/>
              <c:layout>
                <c:manualLayout>
                  <c:x val="0.18511216431638905"/>
                  <c:y val="-8.8982183945092511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B74-48E5-A5B3-4F55739E73FE}"/>
                </c:ext>
              </c:extLst>
            </c:dLbl>
            <c:dLbl>
              <c:idx val="2"/>
              <c:layout>
                <c:manualLayout>
                  <c:x val="-0.1941943450250537"/>
                  <c:y val="7.42126345079583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B74-48E5-A5B3-4F55739E73FE}"/>
                </c:ext>
              </c:extLst>
            </c:dLbl>
            <c:dLbl>
              <c:idx val="3"/>
              <c:layout>
                <c:manualLayout>
                  <c:x val="-0.13169005010737297"/>
                  <c:y val="3.806864450834830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B74-48E5-A5B3-4F55739E73FE}"/>
                </c:ext>
              </c:extLst>
            </c:dLbl>
            <c:dLbl>
              <c:idx val="4"/>
              <c:layout>
                <c:manualLayout>
                  <c:x val="-0.13883412323729186"/>
                  <c:y val="-0.124575057523128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B74-48E5-A5B3-4F55739E73FE}"/>
                </c:ext>
              </c:extLst>
            </c:dLbl>
            <c:spPr>
              <a:noFill/>
              <a:ln>
                <a:noFill/>
              </a:ln>
              <a:effectLst/>
            </c:spPr>
            <c:txPr>
              <a:bodyPr rot="0" spcFirstLastPara="1" vertOverflow="ellipsis" vert="horz" wrap="square" anchor="ctr" anchorCtr="1"/>
              <a:lstStyle/>
              <a:p>
                <a:pPr>
                  <a:defRPr lang="en-US" sz="1400" b="1" i="0" u="none" strike="noStrike" kern="1200" baseline="0">
                    <a:solidFill>
                      <a:schemeClr val="tx1"/>
                    </a:solidFill>
                    <a:effectLst/>
                    <a:latin typeface="Aharoni" panose="02010803020104030203" pitchFamily="2" charset="-79"/>
                    <a:ea typeface="+mn-ea"/>
                    <a:cs typeface="Aharoni" panose="02010803020104030203" pitchFamily="2" charset="-79"/>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Merge1!$M$6:$M$11</c:f>
              <c:strCache>
                <c:ptCount val="5"/>
                <c:pt idx="0">
                  <c:v>Display</c:v>
                </c:pt>
                <c:pt idx="1">
                  <c:v>Email</c:v>
                </c:pt>
                <c:pt idx="2">
                  <c:v>Influencer</c:v>
                </c:pt>
                <c:pt idx="3">
                  <c:v>Search</c:v>
                </c:pt>
                <c:pt idx="4">
                  <c:v>Social Media</c:v>
                </c:pt>
              </c:strCache>
            </c:strRef>
          </c:cat>
          <c:val>
            <c:numRef>
              <c:f>Merge1!$N$6:$N$11</c:f>
              <c:numCache>
                <c:formatCode>0.00</c:formatCode>
                <c:ptCount val="5"/>
                <c:pt idx="0">
                  <c:v>7.6420289855072427</c:v>
                </c:pt>
                <c:pt idx="1">
                  <c:v>7.1633663366336648</c:v>
                </c:pt>
                <c:pt idx="2">
                  <c:v>7.4986607142857213</c:v>
                </c:pt>
                <c:pt idx="3">
                  <c:v>7.7413793103448238</c:v>
                </c:pt>
                <c:pt idx="4">
                  <c:v>7.7773195876288659</c:v>
                </c:pt>
              </c:numCache>
            </c:numRef>
          </c:val>
          <c:extLst>
            <c:ext xmlns:c16="http://schemas.microsoft.com/office/drawing/2014/chart" uri="{C3380CC4-5D6E-409C-BE32-E72D297353CC}">
              <c16:uniqueId val="{0000000A-3B74-48E5-A5B3-4F55739E73FE}"/>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lang="en-US" sz="1400" b="1" i="0" u="none" strike="noStrike" kern="1200" baseline="0">
          <a:solidFill>
            <a:schemeClr val="tx1"/>
          </a:solidFill>
          <a:effectLst/>
          <a:latin typeface="Aharoni" panose="02010803020104030203" pitchFamily="2" charset="-79"/>
          <a:ea typeface="+mn-ea"/>
          <a:cs typeface="Aharoni" panose="02010803020104030203" pitchFamily="2" charset="-79"/>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used.xlsx]Merge1!PivotTable20</c:name>
    <c:fmtId val="5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Engagment -score by Campain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Merge1!$N$14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Merge1!$M$15:$M$20</c:f>
              <c:strCache>
                <c:ptCount val="5"/>
                <c:pt idx="0">
                  <c:v>Display</c:v>
                </c:pt>
                <c:pt idx="1">
                  <c:v>Email</c:v>
                </c:pt>
                <c:pt idx="2">
                  <c:v>Influencer</c:v>
                </c:pt>
                <c:pt idx="3">
                  <c:v>Search</c:v>
                </c:pt>
                <c:pt idx="4">
                  <c:v>Social Media</c:v>
                </c:pt>
              </c:strCache>
            </c:strRef>
          </c:cat>
          <c:val>
            <c:numRef>
              <c:f>Merge1!$N$15:$N$20</c:f>
              <c:numCache>
                <c:formatCode>General</c:formatCode>
                <c:ptCount val="5"/>
                <c:pt idx="0">
                  <c:v>15639</c:v>
                </c:pt>
                <c:pt idx="1">
                  <c:v>15386</c:v>
                </c:pt>
                <c:pt idx="2">
                  <c:v>16894</c:v>
                </c:pt>
                <c:pt idx="3">
                  <c:v>13186</c:v>
                </c:pt>
                <c:pt idx="4">
                  <c:v>14495</c:v>
                </c:pt>
              </c:numCache>
            </c:numRef>
          </c:val>
          <c:extLst>
            <c:ext xmlns:c16="http://schemas.microsoft.com/office/drawing/2014/chart" uri="{C3380CC4-5D6E-409C-BE32-E72D297353CC}">
              <c16:uniqueId val="{00000000-537D-495D-B9C2-4173AECC71BC}"/>
            </c:ext>
          </c:extLst>
        </c:ser>
        <c:dLbls>
          <c:dLblPos val="outEnd"/>
          <c:showLegendKey val="0"/>
          <c:showVal val="1"/>
          <c:showCatName val="0"/>
          <c:showSerName val="0"/>
          <c:showPercent val="0"/>
          <c:showBubbleSize val="0"/>
        </c:dLbls>
        <c:gapWidth val="219"/>
        <c:overlap val="-27"/>
        <c:axId val="485721103"/>
        <c:axId val="485722543"/>
      </c:barChart>
      <c:catAx>
        <c:axId val="48572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485722543"/>
        <c:crosses val="autoZero"/>
        <c:auto val="1"/>
        <c:lblAlgn val="ctr"/>
        <c:lblOffset val="100"/>
        <c:noMultiLvlLbl val="0"/>
      </c:catAx>
      <c:valAx>
        <c:axId val="485722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485721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used.xlsx]Merge1!PivotTable21</c:name>
    <c:fmtId val="6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ROI BY Channel_used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Merge1!$L$23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Merge1!$K$24:$K$30</c:f>
              <c:strCache>
                <c:ptCount val="6"/>
                <c:pt idx="0">
                  <c:v>Email</c:v>
                </c:pt>
                <c:pt idx="1">
                  <c:v>Facebook</c:v>
                </c:pt>
                <c:pt idx="2">
                  <c:v>Google Ads</c:v>
                </c:pt>
                <c:pt idx="3">
                  <c:v>Instagram</c:v>
                </c:pt>
                <c:pt idx="4">
                  <c:v>Website</c:v>
                </c:pt>
                <c:pt idx="5">
                  <c:v>YouTube</c:v>
                </c:pt>
              </c:strCache>
            </c:strRef>
          </c:cat>
          <c:val>
            <c:numRef>
              <c:f>Merge1!$L$24:$L$30</c:f>
              <c:numCache>
                <c:formatCode>0.00</c:formatCode>
                <c:ptCount val="6"/>
                <c:pt idx="0">
                  <c:v>3.1875000000000013</c:v>
                </c:pt>
                <c:pt idx="1">
                  <c:v>3.25032679738562</c:v>
                </c:pt>
                <c:pt idx="2">
                  <c:v>3.3150602409638545</c:v>
                </c:pt>
                <c:pt idx="3">
                  <c:v>3.2303191489361698</c:v>
                </c:pt>
                <c:pt idx="4">
                  <c:v>3.3076923076923075</c:v>
                </c:pt>
                <c:pt idx="5">
                  <c:v>3.3706586826347298</c:v>
                </c:pt>
              </c:numCache>
            </c:numRef>
          </c:val>
          <c:smooth val="0"/>
          <c:extLst>
            <c:ext xmlns:c16="http://schemas.microsoft.com/office/drawing/2014/chart" uri="{C3380CC4-5D6E-409C-BE32-E72D297353CC}">
              <c16:uniqueId val="{00000000-A204-4979-B3C4-E67266225F4B}"/>
            </c:ext>
          </c:extLst>
        </c:ser>
        <c:dLbls>
          <c:dLblPos val="t"/>
          <c:showLegendKey val="0"/>
          <c:showVal val="1"/>
          <c:showCatName val="0"/>
          <c:showSerName val="0"/>
          <c:showPercent val="0"/>
          <c:showBubbleSize val="0"/>
        </c:dLbls>
        <c:marker val="1"/>
        <c:smooth val="0"/>
        <c:axId val="378265679"/>
        <c:axId val="378259919"/>
      </c:lineChart>
      <c:catAx>
        <c:axId val="3782656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259919"/>
        <c:crosses val="autoZero"/>
        <c:auto val="1"/>
        <c:lblAlgn val="ctr"/>
        <c:lblOffset val="100"/>
        <c:noMultiLvlLbl val="0"/>
      </c:catAx>
      <c:valAx>
        <c:axId val="3782599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78265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used.xlsx]Merge1!PivotTable22</c:name>
    <c:fmtId val="6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conversion -rate by channel-used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Merge1!$Q$5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Merge1!$P$6:$P$11</c:f>
              <c:strCache>
                <c:ptCount val="5"/>
                <c:pt idx="0">
                  <c:v>Display</c:v>
                </c:pt>
                <c:pt idx="1">
                  <c:v>Email</c:v>
                </c:pt>
                <c:pt idx="2">
                  <c:v>Influencer</c:v>
                </c:pt>
                <c:pt idx="3">
                  <c:v>Search</c:v>
                </c:pt>
                <c:pt idx="4">
                  <c:v>Social Media</c:v>
                </c:pt>
              </c:strCache>
            </c:strRef>
          </c:cat>
          <c:val>
            <c:numRef>
              <c:f>Merge1!$Q$6:$Q$11</c:f>
              <c:numCache>
                <c:formatCode>0.00</c:formatCode>
                <c:ptCount val="5"/>
                <c:pt idx="0">
                  <c:v>7.6420289855072427</c:v>
                </c:pt>
                <c:pt idx="1">
                  <c:v>7.1633663366336648</c:v>
                </c:pt>
                <c:pt idx="2">
                  <c:v>7.4986607142857213</c:v>
                </c:pt>
                <c:pt idx="3">
                  <c:v>7.7413793103448238</c:v>
                </c:pt>
                <c:pt idx="4">
                  <c:v>7.7773195876288659</c:v>
                </c:pt>
              </c:numCache>
            </c:numRef>
          </c:val>
          <c:extLst>
            <c:ext xmlns:c16="http://schemas.microsoft.com/office/drawing/2014/chart" uri="{C3380CC4-5D6E-409C-BE32-E72D297353CC}">
              <c16:uniqueId val="{00000000-95EC-4A80-B977-DF3D3FF0E3C2}"/>
            </c:ext>
          </c:extLst>
        </c:ser>
        <c:dLbls>
          <c:dLblPos val="outEnd"/>
          <c:showLegendKey val="0"/>
          <c:showVal val="1"/>
          <c:showCatName val="0"/>
          <c:showSerName val="0"/>
          <c:showPercent val="0"/>
          <c:showBubbleSize val="0"/>
        </c:dLbls>
        <c:gapWidth val="219"/>
        <c:overlap val="-27"/>
        <c:axId val="900706943"/>
        <c:axId val="900700703"/>
      </c:barChart>
      <c:catAx>
        <c:axId val="90070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900700703"/>
        <c:crosses val="autoZero"/>
        <c:auto val="1"/>
        <c:lblAlgn val="ctr"/>
        <c:lblOffset val="100"/>
        <c:noMultiLvlLbl val="0"/>
      </c:catAx>
      <c:valAx>
        <c:axId val="9007007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070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used.xlsx]Merge1!PivotTable23</c:name>
    <c:fmtId val="6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SCORE BY CHANNEL-USED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Merge1!$Q$14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Merge1!$P$15:$P$21</c:f>
              <c:strCache>
                <c:ptCount val="6"/>
                <c:pt idx="0">
                  <c:v>Email</c:v>
                </c:pt>
                <c:pt idx="1">
                  <c:v>Facebook</c:v>
                </c:pt>
                <c:pt idx="2">
                  <c:v>Google Ads</c:v>
                </c:pt>
                <c:pt idx="3">
                  <c:v>Instagram</c:v>
                </c:pt>
                <c:pt idx="4">
                  <c:v>Website</c:v>
                </c:pt>
                <c:pt idx="5">
                  <c:v>YouTube</c:v>
                </c:pt>
              </c:strCache>
            </c:strRef>
          </c:cat>
          <c:val>
            <c:numRef>
              <c:f>Merge1!$Q$15:$Q$21</c:f>
              <c:numCache>
                <c:formatCode>#,##0"K"</c:formatCode>
                <c:ptCount val="6"/>
                <c:pt idx="0">
                  <c:v>13966</c:v>
                </c:pt>
                <c:pt idx="1">
                  <c:v>11467</c:v>
                </c:pt>
                <c:pt idx="2">
                  <c:v>12395</c:v>
                </c:pt>
                <c:pt idx="3">
                  <c:v>14211</c:v>
                </c:pt>
                <c:pt idx="4">
                  <c:v>10922</c:v>
                </c:pt>
                <c:pt idx="5">
                  <c:v>12639</c:v>
                </c:pt>
              </c:numCache>
            </c:numRef>
          </c:val>
          <c:extLst>
            <c:ext xmlns:c16="http://schemas.microsoft.com/office/drawing/2014/chart" uri="{C3380CC4-5D6E-409C-BE32-E72D297353CC}">
              <c16:uniqueId val="{00000000-0FE6-4AD2-B5C5-115D75707514}"/>
            </c:ext>
          </c:extLst>
        </c:ser>
        <c:dLbls>
          <c:dLblPos val="outEnd"/>
          <c:showLegendKey val="0"/>
          <c:showVal val="1"/>
          <c:showCatName val="0"/>
          <c:showSerName val="0"/>
          <c:showPercent val="0"/>
          <c:showBubbleSize val="0"/>
        </c:dLbls>
        <c:gapWidth val="115"/>
        <c:overlap val="-20"/>
        <c:axId val="1384023791"/>
        <c:axId val="1384030991"/>
      </c:barChart>
      <c:catAx>
        <c:axId val="13840237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84030991"/>
        <c:crosses val="autoZero"/>
        <c:auto val="1"/>
        <c:lblAlgn val="ctr"/>
        <c:lblOffset val="100"/>
        <c:noMultiLvlLbl val="0"/>
      </c:catAx>
      <c:valAx>
        <c:axId val="1384030991"/>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84023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used.xlsx]Merge1!PivotTable24</c:name>
    <c:fmtId val="6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IMPRESSION &amp; CLICKS BY CHANNEL-USED </a:t>
            </a:r>
          </a:p>
        </c:rich>
      </c:tx>
      <c:layout>
        <c:manualLayout>
          <c:xMode val="edge"/>
          <c:yMode val="edge"/>
          <c:x val="0.22994140252631956"/>
          <c:y val="0.12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Merge1!$Q$22</c:f>
              <c:strCache>
                <c:ptCount val="1"/>
                <c:pt idx="0">
                  <c:v>Sum of Impressions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Merge1!$P$23:$P$29</c:f>
              <c:strCache>
                <c:ptCount val="6"/>
                <c:pt idx="0">
                  <c:v>Email</c:v>
                </c:pt>
                <c:pt idx="1">
                  <c:v>Facebook</c:v>
                </c:pt>
                <c:pt idx="2">
                  <c:v>Google Ads</c:v>
                </c:pt>
                <c:pt idx="3">
                  <c:v>Instagram</c:v>
                </c:pt>
                <c:pt idx="4">
                  <c:v>Website</c:v>
                </c:pt>
                <c:pt idx="5">
                  <c:v>YouTube</c:v>
                </c:pt>
              </c:strCache>
            </c:strRef>
          </c:cat>
          <c:val>
            <c:numRef>
              <c:f>Merge1!$Q$23:$Q$29</c:f>
              <c:numCache>
                <c:formatCode>#,##0,,\ "M"</c:formatCode>
                <c:ptCount val="6"/>
                <c:pt idx="0">
                  <c:v>13006578</c:v>
                </c:pt>
                <c:pt idx="1">
                  <c:v>9718987</c:v>
                </c:pt>
                <c:pt idx="2">
                  <c:v>11900912</c:v>
                </c:pt>
                <c:pt idx="3">
                  <c:v>13395141</c:v>
                </c:pt>
                <c:pt idx="4">
                  <c:v>10045150</c:v>
                </c:pt>
                <c:pt idx="5">
                  <c:v>12143721</c:v>
                </c:pt>
              </c:numCache>
            </c:numRef>
          </c:val>
          <c:extLst>
            <c:ext xmlns:c16="http://schemas.microsoft.com/office/drawing/2014/chart" uri="{C3380CC4-5D6E-409C-BE32-E72D297353CC}">
              <c16:uniqueId val="{00000000-C83E-4473-9503-06F381A74E91}"/>
            </c:ext>
          </c:extLst>
        </c:ser>
        <c:dLbls>
          <c:showLegendKey val="0"/>
          <c:showVal val="1"/>
          <c:showCatName val="0"/>
          <c:showSerName val="0"/>
          <c:showPercent val="0"/>
          <c:showBubbleSize val="0"/>
        </c:dLbls>
        <c:gapWidth val="219"/>
        <c:overlap val="-27"/>
        <c:axId val="485723023"/>
        <c:axId val="485720143"/>
      </c:barChart>
      <c:lineChart>
        <c:grouping val="standard"/>
        <c:varyColors val="0"/>
        <c:ser>
          <c:idx val="1"/>
          <c:order val="1"/>
          <c:tx>
            <c:strRef>
              <c:f>Merge1!$R$22</c:f>
              <c:strCache>
                <c:ptCount val="1"/>
                <c:pt idx="0">
                  <c:v>Sum of Clicks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Merge1!$P$23:$P$29</c:f>
              <c:strCache>
                <c:ptCount val="6"/>
                <c:pt idx="0">
                  <c:v>Email</c:v>
                </c:pt>
                <c:pt idx="1">
                  <c:v>Facebook</c:v>
                </c:pt>
                <c:pt idx="2">
                  <c:v>Google Ads</c:v>
                </c:pt>
                <c:pt idx="3">
                  <c:v>Instagram</c:v>
                </c:pt>
                <c:pt idx="4">
                  <c:v>Website</c:v>
                </c:pt>
                <c:pt idx="5">
                  <c:v>YouTube</c:v>
                </c:pt>
              </c:strCache>
            </c:strRef>
          </c:cat>
          <c:val>
            <c:numRef>
              <c:f>Merge1!$R$23:$R$29</c:f>
              <c:numCache>
                <c:formatCode>0.00</c:formatCode>
                <c:ptCount val="6"/>
                <c:pt idx="0">
                  <c:v>1517175</c:v>
                </c:pt>
                <c:pt idx="1">
                  <c:v>1299233</c:v>
                </c:pt>
                <c:pt idx="2">
                  <c:v>1272466</c:v>
                </c:pt>
                <c:pt idx="3">
                  <c:v>1453343</c:v>
                </c:pt>
                <c:pt idx="4">
                  <c:v>1131739</c:v>
                </c:pt>
                <c:pt idx="5">
                  <c:v>1331024</c:v>
                </c:pt>
              </c:numCache>
            </c:numRef>
          </c:val>
          <c:smooth val="0"/>
          <c:extLst>
            <c:ext xmlns:c16="http://schemas.microsoft.com/office/drawing/2014/chart" uri="{C3380CC4-5D6E-409C-BE32-E72D297353CC}">
              <c16:uniqueId val="{00000001-C83E-4473-9503-06F381A74E91}"/>
            </c:ext>
          </c:extLst>
        </c:ser>
        <c:dLbls>
          <c:showLegendKey val="0"/>
          <c:showVal val="1"/>
          <c:showCatName val="0"/>
          <c:showSerName val="0"/>
          <c:showPercent val="0"/>
          <c:showBubbleSize val="0"/>
        </c:dLbls>
        <c:marker val="1"/>
        <c:smooth val="0"/>
        <c:axId val="485723023"/>
        <c:axId val="485720143"/>
      </c:lineChart>
      <c:catAx>
        <c:axId val="4857230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720143"/>
        <c:crosses val="autoZero"/>
        <c:auto val="1"/>
        <c:lblAlgn val="ctr"/>
        <c:lblOffset val="100"/>
        <c:noMultiLvlLbl val="0"/>
      </c:catAx>
      <c:valAx>
        <c:axId val="485720143"/>
        <c:scaling>
          <c:orientation val="minMax"/>
        </c:scaling>
        <c:delete val="0"/>
        <c:axPos val="l"/>
        <c:numFmt formatCode="#,##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723023"/>
        <c:crosses val="autoZero"/>
        <c:crossBetween val="between"/>
      </c:valAx>
      <c:spPr>
        <a:noFill/>
        <a:ln>
          <a:noFill/>
        </a:ln>
        <a:effectLst/>
      </c:spPr>
    </c:plotArea>
    <c:legend>
      <c:legendPos val="t"/>
      <c:layout>
        <c:manualLayout>
          <c:xMode val="edge"/>
          <c:yMode val="edge"/>
          <c:x val="1.5517594191429798E-2"/>
          <c:y val="3.2824074074074089E-2"/>
          <c:w val="0.97143047961707985"/>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used.xlsx]Merge1!PivotTable25</c:name>
    <c:fmtId val="71"/>
  </c:pivotSource>
  <c:chart>
    <c:title>
      <c:tx>
        <c:rich>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r>
              <a:rPr lang="en-US">
                <a:solidFill>
                  <a:sysClr val="windowText" lastClr="000000"/>
                </a:solidFill>
              </a:rPr>
              <a:t>roi by</a:t>
            </a:r>
            <a:r>
              <a:rPr lang="en-US" baseline="0">
                <a:solidFill>
                  <a:sysClr val="windowText" lastClr="000000"/>
                </a:solidFill>
              </a:rPr>
              <a:t> </a:t>
            </a:r>
            <a:r>
              <a:rPr lang="en-US">
                <a:solidFill>
                  <a:sysClr val="windowText" lastClr="000000"/>
                </a:solidFill>
              </a:rPr>
              <a:t>customer_ segment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4.1461004466450763E-2"/>
              <c:y val="7.87135462233887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8.9316412715623211E-2"/>
              <c:y val="-5.2583479148439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7211132983377079"/>
              <c:y val="-5.96684467471627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3.3174204632173278E-2"/>
              <c:y val="-3.41378681831438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8.4491466664326206E-2"/>
              <c:y val="0.1228824001166520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Merge1!$N$23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C29-4415-BF57-550C6C1AE77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C29-4415-BF57-550C6C1AE77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C29-4415-BF57-550C6C1AE77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C29-4415-BF57-550C6C1AE77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C29-4415-BF57-550C6C1AE77D}"/>
              </c:ext>
            </c:extLst>
          </c:dPt>
          <c:dLbls>
            <c:dLbl>
              <c:idx val="0"/>
              <c:layout>
                <c:manualLayout>
                  <c:x val="4.1461004466450763E-2"/>
                  <c:y val="7.871354622338874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C29-4415-BF57-550C6C1AE77D}"/>
                </c:ext>
              </c:extLst>
            </c:dLbl>
            <c:dLbl>
              <c:idx val="1"/>
              <c:layout>
                <c:manualLayout>
                  <c:x val="8.9316412715623211E-2"/>
                  <c:y val="-5.25834791484398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C29-4415-BF57-550C6C1AE77D}"/>
                </c:ext>
              </c:extLst>
            </c:dLbl>
            <c:dLbl>
              <c:idx val="2"/>
              <c:layout>
                <c:manualLayout>
                  <c:x val="0.27211132983377079"/>
                  <c:y val="-5.96684467471627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C29-4415-BF57-550C6C1AE77D}"/>
                </c:ext>
              </c:extLst>
            </c:dLbl>
            <c:dLbl>
              <c:idx val="3"/>
              <c:layout>
                <c:manualLayout>
                  <c:x val="-3.3174204632173278E-2"/>
                  <c:y val="-3.413786818314385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C29-4415-BF57-550C6C1AE77D}"/>
                </c:ext>
              </c:extLst>
            </c:dLbl>
            <c:dLbl>
              <c:idx val="4"/>
              <c:layout>
                <c:manualLayout>
                  <c:x val="-8.4491466664326206E-2"/>
                  <c:y val="0.1228824001166520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C29-4415-BF57-550C6C1AE7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Merge1!$M$24:$M$29</c:f>
              <c:strCache>
                <c:ptCount val="5"/>
                <c:pt idx="0">
                  <c:v>Fashionistas</c:v>
                </c:pt>
                <c:pt idx="1">
                  <c:v>Foodies</c:v>
                </c:pt>
                <c:pt idx="2">
                  <c:v>Health &amp; Wellness</c:v>
                </c:pt>
                <c:pt idx="3">
                  <c:v>Outdoor Adventurers</c:v>
                </c:pt>
                <c:pt idx="4">
                  <c:v>Tech Enthusiasts</c:v>
                </c:pt>
              </c:strCache>
            </c:strRef>
          </c:cat>
          <c:val>
            <c:numRef>
              <c:f>Merge1!$N$24:$N$29</c:f>
              <c:numCache>
                <c:formatCode>0.00</c:formatCode>
                <c:ptCount val="5"/>
                <c:pt idx="0">
                  <c:v>3.2183783783783775</c:v>
                </c:pt>
                <c:pt idx="1">
                  <c:v>3.2004424778761056</c:v>
                </c:pt>
                <c:pt idx="2">
                  <c:v>3.3616161616161602</c:v>
                </c:pt>
                <c:pt idx="3">
                  <c:v>3.3040229885057464</c:v>
                </c:pt>
                <c:pt idx="4">
                  <c:v>3.2940366972477064</c:v>
                </c:pt>
              </c:numCache>
            </c:numRef>
          </c:val>
          <c:extLst>
            <c:ext xmlns:c16="http://schemas.microsoft.com/office/drawing/2014/chart" uri="{C3380CC4-5D6E-409C-BE32-E72D297353CC}">
              <c16:uniqueId val="{0000000A-4C29-4415-BF57-550C6C1AE77D}"/>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used.xlsx]Merge1!PivotTable26</c:name>
    <c:fmtId val="69"/>
  </c:pivotSource>
  <c:chart>
    <c:title>
      <c:tx>
        <c:rich>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200" b="1" i="0" u="none" strike="noStrike" kern="1200" cap="all" spc="50" baseline="0">
                <a:solidFill>
                  <a:schemeClr val="tx1"/>
                </a:solidFill>
              </a:rPr>
              <a:t>conversion_rate by customer_ segment </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Merge1!$U$5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Merge1!$T$6:$T$11</c:f>
              <c:strCache>
                <c:ptCount val="5"/>
                <c:pt idx="0">
                  <c:v>Fashionistas</c:v>
                </c:pt>
                <c:pt idx="1">
                  <c:v>Foodies</c:v>
                </c:pt>
                <c:pt idx="2">
                  <c:v>Health &amp; Wellness</c:v>
                </c:pt>
                <c:pt idx="3">
                  <c:v>Outdoor Adventurers</c:v>
                </c:pt>
                <c:pt idx="4">
                  <c:v>Tech Enthusiasts</c:v>
                </c:pt>
              </c:strCache>
            </c:strRef>
          </c:cat>
          <c:val>
            <c:numRef>
              <c:f>Merge1!$U$6:$U$11</c:f>
              <c:numCache>
                <c:formatCode>0.00</c:formatCode>
                <c:ptCount val="5"/>
                <c:pt idx="0">
                  <c:v>7.4237837837837892</c:v>
                </c:pt>
                <c:pt idx="1">
                  <c:v>7.6964601769911543</c:v>
                </c:pt>
                <c:pt idx="2">
                  <c:v>7.6146464646464604</c:v>
                </c:pt>
                <c:pt idx="3">
                  <c:v>7.6074712643678177</c:v>
                </c:pt>
                <c:pt idx="4">
                  <c:v>7.4321100917431178</c:v>
                </c:pt>
              </c:numCache>
            </c:numRef>
          </c:val>
          <c:extLst>
            <c:ext xmlns:c16="http://schemas.microsoft.com/office/drawing/2014/chart" uri="{C3380CC4-5D6E-409C-BE32-E72D297353CC}">
              <c16:uniqueId val="{00000000-9CB4-4B4A-A69D-51D09598D775}"/>
            </c:ext>
          </c:extLst>
        </c:ser>
        <c:dLbls>
          <c:dLblPos val="outEnd"/>
          <c:showLegendKey val="0"/>
          <c:showVal val="1"/>
          <c:showCatName val="0"/>
          <c:showSerName val="0"/>
          <c:showPercent val="0"/>
          <c:showBubbleSize val="0"/>
        </c:dLbls>
        <c:gapWidth val="100"/>
        <c:overlap val="-24"/>
        <c:axId val="1799147183"/>
        <c:axId val="1799146703"/>
      </c:barChart>
      <c:catAx>
        <c:axId val="1799147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99146703"/>
        <c:crosses val="autoZero"/>
        <c:auto val="1"/>
        <c:lblAlgn val="ctr"/>
        <c:lblOffset val="100"/>
        <c:noMultiLvlLbl val="0"/>
      </c:catAx>
      <c:valAx>
        <c:axId val="1799146703"/>
        <c:scaling>
          <c:orientation val="minMax"/>
        </c:scaling>
        <c:delete val="1"/>
        <c:axPos val="l"/>
        <c:numFmt formatCode="0.00" sourceLinked="1"/>
        <c:majorTickMark val="none"/>
        <c:minorTickMark val="none"/>
        <c:tickLblPos val="nextTo"/>
        <c:crossAx val="1799147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used.xlsx]Merge1!PivotTable27</c:name>
    <c:fmtId val="6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solidFill>
              </a:rPr>
              <a:t>score by customer_ segment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8861402124235768"/>
          <c:y val="3.340824644343801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Merge1!$U$14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Merge1!$T$15:$T$20</c:f>
              <c:strCache>
                <c:ptCount val="5"/>
                <c:pt idx="0">
                  <c:v>Fashionistas</c:v>
                </c:pt>
                <c:pt idx="1">
                  <c:v>Foodies</c:v>
                </c:pt>
                <c:pt idx="2">
                  <c:v>Health &amp; Wellness</c:v>
                </c:pt>
                <c:pt idx="3">
                  <c:v>Outdoor Adventurers</c:v>
                </c:pt>
                <c:pt idx="4">
                  <c:v>Tech Enthusiasts</c:v>
                </c:pt>
              </c:strCache>
            </c:strRef>
          </c:cat>
          <c:val>
            <c:numRef>
              <c:f>Merge1!$U$15:$U$20</c:f>
              <c:numCache>
                <c:formatCode>#,##0"K"</c:formatCode>
                <c:ptCount val="5"/>
                <c:pt idx="0">
                  <c:v>13907</c:v>
                </c:pt>
                <c:pt idx="1">
                  <c:v>17234</c:v>
                </c:pt>
                <c:pt idx="2">
                  <c:v>14777</c:v>
                </c:pt>
                <c:pt idx="3">
                  <c:v>12881</c:v>
                </c:pt>
                <c:pt idx="4">
                  <c:v>16801</c:v>
                </c:pt>
              </c:numCache>
            </c:numRef>
          </c:val>
          <c:extLst>
            <c:ext xmlns:c16="http://schemas.microsoft.com/office/drawing/2014/chart" uri="{C3380CC4-5D6E-409C-BE32-E72D297353CC}">
              <c16:uniqueId val="{00000000-5C52-4CDC-B778-9EA8AC82D2D2}"/>
            </c:ext>
          </c:extLst>
        </c:ser>
        <c:dLbls>
          <c:dLblPos val="outEnd"/>
          <c:showLegendKey val="0"/>
          <c:showVal val="1"/>
          <c:showCatName val="0"/>
          <c:showSerName val="0"/>
          <c:showPercent val="0"/>
          <c:showBubbleSize val="0"/>
        </c:dLbls>
        <c:gapWidth val="182"/>
        <c:axId val="780922943"/>
        <c:axId val="780929663"/>
      </c:barChart>
      <c:catAx>
        <c:axId val="78092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80929663"/>
        <c:crosses val="autoZero"/>
        <c:auto val="1"/>
        <c:lblAlgn val="ctr"/>
        <c:lblOffset val="100"/>
        <c:noMultiLvlLbl val="0"/>
      </c:catAx>
      <c:valAx>
        <c:axId val="780929663"/>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80922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 used.xlsx]Merge1!PivotTable28</c:name>
    <c:fmtId val="7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clicks &amp; impression by customer_segment</a:t>
            </a:r>
          </a:p>
        </c:rich>
      </c:tx>
      <c:layout>
        <c:manualLayout>
          <c:xMode val="edge"/>
          <c:yMode val="edge"/>
          <c:x val="0.21879694321040002"/>
          <c:y val="0.1330564847865877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Merge1!$U$22</c:f>
              <c:strCache>
                <c:ptCount val="1"/>
                <c:pt idx="0">
                  <c:v>Sum of Impressions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Merge1!$T$23:$T$28</c:f>
              <c:strCache>
                <c:ptCount val="5"/>
                <c:pt idx="0">
                  <c:v>Fashionistas</c:v>
                </c:pt>
                <c:pt idx="1">
                  <c:v>Foodies</c:v>
                </c:pt>
                <c:pt idx="2">
                  <c:v>Health &amp; Wellness</c:v>
                </c:pt>
                <c:pt idx="3">
                  <c:v>Outdoor Adventurers</c:v>
                </c:pt>
                <c:pt idx="4">
                  <c:v>Tech Enthusiasts</c:v>
                </c:pt>
              </c:strCache>
            </c:strRef>
          </c:cat>
          <c:val>
            <c:numRef>
              <c:f>Merge1!$U$23:$U$28</c:f>
              <c:numCache>
                <c:formatCode>#,##0,,\ "M"</c:formatCode>
                <c:ptCount val="5"/>
                <c:pt idx="0">
                  <c:v>12396913</c:v>
                </c:pt>
                <c:pt idx="1">
                  <c:v>15724953</c:v>
                </c:pt>
                <c:pt idx="2">
                  <c:v>14505307</c:v>
                </c:pt>
                <c:pt idx="3">
                  <c:v>12395290</c:v>
                </c:pt>
                <c:pt idx="4">
                  <c:v>15188026</c:v>
                </c:pt>
              </c:numCache>
            </c:numRef>
          </c:val>
          <c:extLst>
            <c:ext xmlns:c16="http://schemas.microsoft.com/office/drawing/2014/chart" uri="{C3380CC4-5D6E-409C-BE32-E72D297353CC}">
              <c16:uniqueId val="{00000000-769E-47C3-8797-C0486E1534D9}"/>
            </c:ext>
          </c:extLst>
        </c:ser>
        <c:dLbls>
          <c:showLegendKey val="0"/>
          <c:showVal val="1"/>
          <c:showCatName val="0"/>
          <c:showSerName val="0"/>
          <c:showPercent val="0"/>
          <c:showBubbleSize val="0"/>
        </c:dLbls>
        <c:gapWidth val="219"/>
        <c:axId val="284360879"/>
        <c:axId val="284362319"/>
      </c:barChart>
      <c:lineChart>
        <c:grouping val="standard"/>
        <c:varyColors val="0"/>
        <c:ser>
          <c:idx val="1"/>
          <c:order val="1"/>
          <c:tx>
            <c:strRef>
              <c:f>Merge1!$V$22</c:f>
              <c:strCache>
                <c:ptCount val="1"/>
                <c:pt idx="0">
                  <c:v>Sum of Clicks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Merge1!$T$23:$T$28</c:f>
              <c:strCache>
                <c:ptCount val="5"/>
                <c:pt idx="0">
                  <c:v>Fashionistas</c:v>
                </c:pt>
                <c:pt idx="1">
                  <c:v>Foodies</c:v>
                </c:pt>
                <c:pt idx="2">
                  <c:v>Health &amp; Wellness</c:v>
                </c:pt>
                <c:pt idx="3">
                  <c:v>Outdoor Adventurers</c:v>
                </c:pt>
                <c:pt idx="4">
                  <c:v>Tech Enthusiasts</c:v>
                </c:pt>
              </c:strCache>
            </c:strRef>
          </c:cat>
          <c:val>
            <c:numRef>
              <c:f>Merge1!$V$23:$V$28</c:f>
              <c:numCache>
                <c:formatCode>#,##0"K"</c:formatCode>
                <c:ptCount val="5"/>
                <c:pt idx="0">
                  <c:v>1497706</c:v>
                </c:pt>
                <c:pt idx="1">
                  <c:v>1764182</c:v>
                </c:pt>
                <c:pt idx="2">
                  <c:v>1587154</c:v>
                </c:pt>
                <c:pt idx="3">
                  <c:v>1408683</c:v>
                </c:pt>
                <c:pt idx="4">
                  <c:v>1747255</c:v>
                </c:pt>
              </c:numCache>
            </c:numRef>
          </c:val>
          <c:smooth val="0"/>
          <c:extLst>
            <c:ext xmlns:c16="http://schemas.microsoft.com/office/drawing/2014/chart" uri="{C3380CC4-5D6E-409C-BE32-E72D297353CC}">
              <c16:uniqueId val="{00000001-769E-47C3-8797-C0486E1534D9}"/>
            </c:ext>
          </c:extLst>
        </c:ser>
        <c:dLbls>
          <c:showLegendKey val="0"/>
          <c:showVal val="1"/>
          <c:showCatName val="0"/>
          <c:showSerName val="0"/>
          <c:showPercent val="0"/>
          <c:showBubbleSize val="0"/>
        </c:dLbls>
        <c:marker val="1"/>
        <c:smooth val="0"/>
        <c:axId val="771876079"/>
        <c:axId val="771869839"/>
      </c:lineChart>
      <c:catAx>
        <c:axId val="77187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71869839"/>
        <c:crosses val="autoZero"/>
        <c:auto val="1"/>
        <c:lblAlgn val="ctr"/>
        <c:lblOffset val="100"/>
        <c:noMultiLvlLbl val="0"/>
      </c:catAx>
      <c:valAx>
        <c:axId val="771869839"/>
        <c:scaling>
          <c:orientation val="minMax"/>
        </c:scaling>
        <c:delete val="1"/>
        <c:axPos val="l"/>
        <c:numFmt formatCode="#,##0&quot;K&quot;" sourceLinked="1"/>
        <c:majorTickMark val="none"/>
        <c:minorTickMark val="none"/>
        <c:tickLblPos val="nextTo"/>
        <c:crossAx val="771876079"/>
        <c:crosses val="autoZero"/>
        <c:crossBetween val="between"/>
        <c:dispUnits>
          <c:builtInUnit val="thousands"/>
        </c:dispUnits>
      </c:valAx>
      <c:valAx>
        <c:axId val="284362319"/>
        <c:scaling>
          <c:orientation val="minMax"/>
        </c:scaling>
        <c:delete val="1"/>
        <c:axPos val="r"/>
        <c:numFmt formatCode="#,##0,,\ &quot;M&quot;" sourceLinked="1"/>
        <c:majorTickMark val="out"/>
        <c:minorTickMark val="none"/>
        <c:tickLblPos val="nextTo"/>
        <c:crossAx val="284360879"/>
        <c:crosses val="max"/>
        <c:crossBetween val="between"/>
      </c:valAx>
      <c:catAx>
        <c:axId val="284360879"/>
        <c:scaling>
          <c:orientation val="minMax"/>
        </c:scaling>
        <c:delete val="1"/>
        <c:axPos val="b"/>
        <c:numFmt formatCode="General" sourceLinked="1"/>
        <c:majorTickMark val="out"/>
        <c:minorTickMark val="none"/>
        <c:tickLblPos val="nextTo"/>
        <c:crossAx val="284362319"/>
        <c:crosses val="autoZero"/>
        <c:auto val="1"/>
        <c:lblAlgn val="ctr"/>
        <c:lblOffset val="100"/>
        <c:noMultiLvlLbl val="0"/>
      </c:catAx>
      <c:spPr>
        <a:noFill/>
        <a:ln>
          <a:noFill/>
        </a:ln>
        <a:effectLst/>
      </c:spPr>
    </c:plotArea>
    <c:legend>
      <c:legendPos val="t"/>
      <c:layout>
        <c:manualLayout>
          <c:xMode val="edge"/>
          <c:yMode val="edge"/>
          <c:x val="1.411538657276558E-2"/>
          <c:y val="2.4884637497866572E-2"/>
          <c:w val="0.94478697877015294"/>
          <c:h val="8.316088504098211E-2"/>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hyperlink" Target="#page_3!A1"/><Relationship Id="rId3" Type="http://schemas.openxmlformats.org/officeDocument/2006/relationships/chart" Target="../charts/chart1.xml"/><Relationship Id="rId7" Type="http://schemas.openxmlformats.org/officeDocument/2006/relationships/hyperlink" Target="#home!A1"/><Relationship Id="rId12"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hyperlink" Target="#page_2!A1"/><Relationship Id="rId5" Type="http://schemas.openxmlformats.org/officeDocument/2006/relationships/chart" Target="../charts/chart3.xml"/><Relationship Id="rId10" Type="http://schemas.openxmlformats.org/officeDocument/2006/relationships/image" Target="../media/image4.png"/><Relationship Id="rId4" Type="http://schemas.openxmlformats.org/officeDocument/2006/relationships/chart" Target="../charts/chart2.xml"/><Relationship Id="rId9" Type="http://schemas.openxmlformats.org/officeDocument/2006/relationships/hyperlink" Target="#page_1!A1"/><Relationship Id="rId14" Type="http://schemas.openxmlformats.org/officeDocument/2006/relationships/image" Target="../media/image6.png"/></Relationships>
</file>

<file path=xl/drawings/_rels/drawing3.xml.rels><?xml version="1.0" encoding="UTF-8" standalone="yes"?>
<Relationships xmlns="http://schemas.openxmlformats.org/package/2006/relationships"><Relationship Id="rId8" Type="http://schemas.openxmlformats.org/officeDocument/2006/relationships/hyperlink" Target="#page_3!A1"/><Relationship Id="rId13" Type="http://schemas.openxmlformats.org/officeDocument/2006/relationships/image" Target="../media/image11.png"/><Relationship Id="rId3" Type="http://schemas.openxmlformats.org/officeDocument/2006/relationships/image" Target="../media/image8.png"/><Relationship Id="rId7" Type="http://schemas.openxmlformats.org/officeDocument/2006/relationships/chart" Target="../charts/chart8.xml"/><Relationship Id="rId12" Type="http://schemas.openxmlformats.org/officeDocument/2006/relationships/hyperlink" Target="#page_2!A1"/><Relationship Id="rId2" Type="http://schemas.openxmlformats.org/officeDocument/2006/relationships/image" Target="../media/image7.png"/><Relationship Id="rId1" Type="http://schemas.openxmlformats.org/officeDocument/2006/relationships/hyperlink" Target="#home!A1"/><Relationship Id="rId6" Type="http://schemas.openxmlformats.org/officeDocument/2006/relationships/chart" Target="../charts/chart7.xml"/><Relationship Id="rId11" Type="http://schemas.openxmlformats.org/officeDocument/2006/relationships/image" Target="../media/image10.png"/><Relationship Id="rId5" Type="http://schemas.openxmlformats.org/officeDocument/2006/relationships/chart" Target="../charts/chart6.xml"/><Relationship Id="rId10" Type="http://schemas.openxmlformats.org/officeDocument/2006/relationships/hyperlink" Target="#page_1!A1"/><Relationship Id="rId4" Type="http://schemas.openxmlformats.org/officeDocument/2006/relationships/chart" Target="../charts/chart5.xml"/><Relationship Id="rId9" Type="http://schemas.openxmlformats.org/officeDocument/2006/relationships/image" Target="../media/image9.png"/><Relationship Id="rId1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hyperlink" Target="#page_2!A1"/><Relationship Id="rId3" Type="http://schemas.openxmlformats.org/officeDocument/2006/relationships/chart" Target="../charts/chart9.xml"/><Relationship Id="rId7" Type="http://schemas.openxmlformats.org/officeDocument/2006/relationships/hyperlink" Target="#page_3!A1"/><Relationship Id="rId12" Type="http://schemas.openxmlformats.org/officeDocument/2006/relationships/image" Target="../media/image17.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chart" Target="../charts/chart12.xml"/><Relationship Id="rId11" Type="http://schemas.openxmlformats.org/officeDocument/2006/relationships/hyperlink" Target="#home!A1"/><Relationship Id="rId5" Type="http://schemas.openxmlformats.org/officeDocument/2006/relationships/chart" Target="../charts/chart11.xml"/><Relationship Id="rId10" Type="http://schemas.openxmlformats.org/officeDocument/2006/relationships/image" Target="../media/image16.png"/><Relationship Id="rId4" Type="http://schemas.openxmlformats.org/officeDocument/2006/relationships/chart" Target="../charts/chart10.xml"/><Relationship Id="rId9" Type="http://schemas.openxmlformats.org/officeDocument/2006/relationships/hyperlink" Target="#page_1!A1"/><Relationship Id="rId14" Type="http://schemas.openxmlformats.org/officeDocument/2006/relationships/image" Target="../media/image18.png"/></Relationships>
</file>

<file path=xl/drawings/_rels/drawing5.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hyperlink" Target="#page_2!A1"/><Relationship Id="rId3" Type="http://schemas.openxmlformats.org/officeDocument/2006/relationships/chart" Target="../charts/chart13.xml"/><Relationship Id="rId7" Type="http://schemas.openxmlformats.org/officeDocument/2006/relationships/hyperlink" Target="#home!A1"/><Relationship Id="rId12" Type="http://schemas.openxmlformats.org/officeDocument/2006/relationships/image" Target="../media/image23.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chart" Target="../charts/chart16.xml"/><Relationship Id="rId11" Type="http://schemas.openxmlformats.org/officeDocument/2006/relationships/hyperlink" Target="#page_3!A1"/><Relationship Id="rId5" Type="http://schemas.openxmlformats.org/officeDocument/2006/relationships/chart" Target="../charts/chart15.xml"/><Relationship Id="rId10" Type="http://schemas.openxmlformats.org/officeDocument/2006/relationships/image" Target="../media/image22.png"/><Relationship Id="rId4" Type="http://schemas.openxmlformats.org/officeDocument/2006/relationships/chart" Target="../charts/chart14.xml"/><Relationship Id="rId9" Type="http://schemas.openxmlformats.org/officeDocument/2006/relationships/hyperlink" Target="#page_1!A1"/><Relationship Id="rId1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2</xdr:col>
      <xdr:colOff>219890</xdr:colOff>
      <xdr:row>20</xdr:row>
      <xdr:rowOff>134257</xdr:rowOff>
    </xdr:from>
    <xdr:to>
      <xdr:col>4</xdr:col>
      <xdr:colOff>98333</xdr:colOff>
      <xdr:row>34</xdr:row>
      <xdr:rowOff>61232</xdr:rowOff>
    </xdr:to>
    <mc:AlternateContent xmlns:mc="http://schemas.openxmlformats.org/markup-compatibility/2006" xmlns:a14="http://schemas.microsoft.com/office/drawing/2010/main">
      <mc:Choice Requires="a14">
        <xdr:graphicFrame macro="">
          <xdr:nvGraphicFramePr>
            <xdr:cNvPr id="5" name="Age_group">
              <a:extLst>
                <a:ext uri="{FF2B5EF4-FFF2-40B4-BE49-F238E27FC236}">
                  <a16:creationId xmlns:a16="http://schemas.microsoft.com/office/drawing/2014/main" id="{A497CC21-DEE7-69F7-6A5D-BBCF906C5937}"/>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925319" y="3762828"/>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26853</xdr:colOff>
      <xdr:row>5</xdr:row>
      <xdr:rowOff>79103</xdr:rowOff>
    </xdr:from>
    <xdr:to>
      <xdr:col>5</xdr:col>
      <xdr:colOff>250010</xdr:colOff>
      <xdr:row>19</xdr:row>
      <xdr:rowOff>6078</xdr:rowOff>
    </xdr:to>
    <mc:AlternateContent xmlns:mc="http://schemas.openxmlformats.org/markup-compatibility/2006" xmlns:a14="http://schemas.microsoft.com/office/drawing/2010/main">
      <mc:Choice Requires="a14">
        <xdr:graphicFrame macro="">
          <xdr:nvGraphicFramePr>
            <xdr:cNvPr id="6" name="Campaign_Type">
              <a:extLst>
                <a:ext uri="{FF2B5EF4-FFF2-40B4-BE49-F238E27FC236}">
                  <a16:creationId xmlns:a16="http://schemas.microsoft.com/office/drawing/2014/main" id="{01395B37-8540-6F2B-F68E-100875CC408B}"/>
                </a:ext>
              </a:extLst>
            </xdr:cNvPr>
            <xdr:cNvGraphicFramePr/>
          </xdr:nvGraphicFramePr>
          <xdr:xfrm>
            <a:off x="0" y="0"/>
            <a:ext cx="0" cy="0"/>
          </xdr:xfrm>
          <a:graphic>
            <a:graphicData uri="http://schemas.microsoft.com/office/drawing/2010/slicer">
              <sle:slicer xmlns:sle="http://schemas.microsoft.com/office/drawing/2010/slicer" name="Campaign_Type"/>
            </a:graphicData>
          </a:graphic>
        </xdr:graphicFrame>
      </mc:Choice>
      <mc:Fallback xmlns="">
        <xdr:sp macro="" textlink="">
          <xdr:nvSpPr>
            <xdr:cNvPr id="0" name=""/>
            <xdr:cNvSpPr>
              <a:spLocks noTextEdit="1"/>
            </xdr:cNvSpPr>
          </xdr:nvSpPr>
          <xdr:spPr>
            <a:xfrm>
              <a:off x="2947853" y="986246"/>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195581</xdr:colOff>
      <xdr:row>9</xdr:row>
      <xdr:rowOff>33020</xdr:rowOff>
    </xdr:from>
    <xdr:to>
      <xdr:col>5</xdr:col>
      <xdr:colOff>1153524</xdr:colOff>
      <xdr:row>22</xdr:row>
      <xdr:rowOff>141423</xdr:rowOff>
    </xdr:to>
    <mc:AlternateContent xmlns:mc="http://schemas.openxmlformats.org/markup-compatibility/2006" xmlns:a14="http://schemas.microsoft.com/office/drawing/2010/main">
      <mc:Choice Requires="a14">
        <xdr:graphicFrame macro="">
          <xdr:nvGraphicFramePr>
            <xdr:cNvPr id="7" name="Channel_Used">
              <a:extLst>
                <a:ext uri="{FF2B5EF4-FFF2-40B4-BE49-F238E27FC236}">
                  <a16:creationId xmlns:a16="http://schemas.microsoft.com/office/drawing/2014/main" id="{4B8E83D1-D7C8-37A3-CD00-AE840CDEF726}"/>
                </a:ext>
              </a:extLst>
            </xdr:cNvPr>
            <xdr:cNvGraphicFramePr/>
          </xdr:nvGraphicFramePr>
          <xdr:xfrm>
            <a:off x="0" y="0"/>
            <a:ext cx="0" cy="0"/>
          </xdr:xfrm>
          <a:graphic>
            <a:graphicData uri="http://schemas.microsoft.com/office/drawing/2010/slicer">
              <sle:slicer xmlns:sle="http://schemas.microsoft.com/office/drawing/2010/slicer" name="Channel_Used"/>
            </a:graphicData>
          </a:graphic>
        </xdr:graphicFrame>
      </mc:Choice>
      <mc:Fallback xmlns="">
        <xdr:sp macro="" textlink="">
          <xdr:nvSpPr>
            <xdr:cNvPr id="0" name=""/>
            <xdr:cNvSpPr>
              <a:spLocks noTextEdit="1"/>
            </xdr:cNvSpPr>
          </xdr:nvSpPr>
          <xdr:spPr>
            <a:xfrm>
              <a:off x="3851367" y="166587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xdr:colOff>
      <xdr:row>0</xdr:row>
      <xdr:rowOff>60960</xdr:rowOff>
    </xdr:from>
    <xdr:to>
      <xdr:col>2</xdr:col>
      <xdr:colOff>30480</xdr:colOff>
      <xdr:row>6</xdr:row>
      <xdr:rowOff>30480</xdr:rowOff>
    </xdr:to>
    <xdr:pic>
      <xdr:nvPicPr>
        <xdr:cNvPr id="5" name="Picture 4">
          <a:extLst>
            <a:ext uri="{FF2B5EF4-FFF2-40B4-BE49-F238E27FC236}">
              <a16:creationId xmlns:a16="http://schemas.microsoft.com/office/drawing/2014/main" id="{1A713948-8867-A4CB-9027-6D4CE5261F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 y="60960"/>
          <a:ext cx="1226820" cy="1197187"/>
        </a:xfrm>
        <a:prstGeom prst="rect">
          <a:avLst/>
        </a:prstGeom>
      </xdr:spPr>
    </xdr:pic>
    <xdr:clientData/>
  </xdr:twoCellAnchor>
  <xdr:twoCellAnchor editAs="oneCell">
    <xdr:from>
      <xdr:col>23</xdr:col>
      <xdr:colOff>340494</xdr:colOff>
      <xdr:row>0</xdr:row>
      <xdr:rowOff>28474</xdr:rowOff>
    </xdr:from>
    <xdr:to>
      <xdr:col>25</xdr:col>
      <xdr:colOff>256674</xdr:colOff>
      <xdr:row>5</xdr:row>
      <xdr:rowOff>135154</xdr:rowOff>
    </xdr:to>
    <xdr:pic>
      <xdr:nvPicPr>
        <xdr:cNvPr id="39" name="Picture 38">
          <a:extLst>
            <a:ext uri="{FF2B5EF4-FFF2-40B4-BE49-F238E27FC236}">
              <a16:creationId xmlns:a16="http://schemas.microsoft.com/office/drawing/2014/main" id="{8EDEB76A-6933-7076-4867-72408D88C3E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361294" y="28474"/>
          <a:ext cx="1135380" cy="1141396"/>
        </a:xfrm>
        <a:prstGeom prst="rect">
          <a:avLst/>
        </a:prstGeom>
      </xdr:spPr>
    </xdr:pic>
    <xdr:clientData/>
  </xdr:twoCellAnchor>
  <xdr:oneCellAnchor>
    <xdr:from>
      <xdr:col>11</xdr:col>
      <xdr:colOff>288635</xdr:colOff>
      <xdr:row>11</xdr:row>
      <xdr:rowOff>30295</xdr:rowOff>
    </xdr:from>
    <xdr:ext cx="184730" cy="937629"/>
    <xdr:sp macro="" textlink="">
      <xdr:nvSpPr>
        <xdr:cNvPr id="3" name="Rectangle 2">
          <a:extLst>
            <a:ext uri="{FF2B5EF4-FFF2-40B4-BE49-F238E27FC236}">
              <a16:creationId xmlns:a16="http://schemas.microsoft.com/office/drawing/2014/main" id="{5265C251-E9F3-BA28-AA65-242E3B04636F}"/>
            </a:ext>
          </a:extLst>
        </xdr:cNvPr>
        <xdr:cNvSpPr/>
      </xdr:nvSpPr>
      <xdr:spPr>
        <a:xfrm>
          <a:off x="6994235" y="2041975"/>
          <a:ext cx="184730" cy="937629"/>
        </a:xfrm>
        <a:prstGeom prst="rect">
          <a:avLst/>
        </a:prstGeom>
        <a:noFill/>
      </xdr:spPr>
      <xdr:txBody>
        <a:bodyPr wrap="none" lIns="91440" tIns="45720" rIns="91440" bIns="45720">
          <a:spAutoFit/>
        </a:bodyPr>
        <a:lstStyle/>
        <a:p>
          <a:pPr algn="ctr"/>
          <a:endPar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twoCellAnchor>
    <xdr:from>
      <xdr:col>8</xdr:col>
      <xdr:colOff>495300</xdr:colOff>
      <xdr:row>1</xdr:row>
      <xdr:rowOff>1</xdr:rowOff>
    </xdr:from>
    <xdr:to>
      <xdr:col>23</xdr:col>
      <xdr:colOff>313316</xdr:colOff>
      <xdr:row>5</xdr:row>
      <xdr:rowOff>155448</xdr:rowOff>
    </xdr:to>
    <xdr:grpSp>
      <xdr:nvGrpSpPr>
        <xdr:cNvPr id="35" name="Group 34">
          <a:extLst>
            <a:ext uri="{FF2B5EF4-FFF2-40B4-BE49-F238E27FC236}">
              <a16:creationId xmlns:a16="http://schemas.microsoft.com/office/drawing/2014/main" id="{E6B950DE-155C-DE75-223C-C7DB9CA056DF}"/>
            </a:ext>
          </a:extLst>
        </xdr:cNvPr>
        <xdr:cNvGrpSpPr/>
      </xdr:nvGrpSpPr>
      <xdr:grpSpPr>
        <a:xfrm>
          <a:off x="5351436" y="180815"/>
          <a:ext cx="8923270" cy="994938"/>
          <a:chOff x="5288280" y="184299"/>
          <a:chExt cx="8984572" cy="999849"/>
        </a:xfrm>
      </xdr:grpSpPr>
      <xdr:grpSp>
        <xdr:nvGrpSpPr>
          <xdr:cNvPr id="16" name="Group 15">
            <a:extLst>
              <a:ext uri="{FF2B5EF4-FFF2-40B4-BE49-F238E27FC236}">
                <a16:creationId xmlns:a16="http://schemas.microsoft.com/office/drawing/2014/main" id="{AB37D313-8B17-276A-0DD7-EFED1718828D}"/>
              </a:ext>
            </a:extLst>
          </xdr:cNvPr>
          <xdr:cNvGrpSpPr/>
        </xdr:nvGrpSpPr>
        <xdr:grpSpPr>
          <a:xfrm>
            <a:off x="5288280" y="198120"/>
            <a:ext cx="1424940" cy="967740"/>
            <a:chOff x="4884420" y="137160"/>
            <a:chExt cx="1577340" cy="853440"/>
          </a:xfrm>
        </xdr:grpSpPr>
        <xdr:sp macro="" textlink="">
          <xdr:nvSpPr>
            <xdr:cNvPr id="6" name="Rectangle: Rounded Corners 5">
              <a:extLst>
                <a:ext uri="{FF2B5EF4-FFF2-40B4-BE49-F238E27FC236}">
                  <a16:creationId xmlns:a16="http://schemas.microsoft.com/office/drawing/2014/main" id="{CEAB83A6-D926-88A7-C73E-ABD97035D411}"/>
                </a:ext>
              </a:extLst>
            </xdr:cNvPr>
            <xdr:cNvSpPr/>
          </xdr:nvSpPr>
          <xdr:spPr>
            <a:xfrm>
              <a:off x="4884420" y="137160"/>
              <a:ext cx="1577340" cy="853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F4">
          <xdr:nvSpPr>
            <xdr:cNvPr id="15" name="TextBox 14">
              <a:extLst>
                <a:ext uri="{FF2B5EF4-FFF2-40B4-BE49-F238E27FC236}">
                  <a16:creationId xmlns:a16="http://schemas.microsoft.com/office/drawing/2014/main" id="{823FB3DA-B255-0EFA-DEAF-0705456BBD15}"/>
                </a:ext>
              </a:extLst>
            </xdr:cNvPr>
            <xdr:cNvSpPr txBox="1"/>
          </xdr:nvSpPr>
          <xdr:spPr>
            <a:xfrm>
              <a:off x="5234940" y="437956"/>
              <a:ext cx="1059180" cy="458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9DC89D-D3B0-471E-8320-91310175D769}" type="TxLink">
                <a:rPr lang="en-US" sz="2800" b="0" i="0" u="none" strike="noStrike" kern="1200">
                  <a:solidFill>
                    <a:srgbClr val="000000"/>
                  </a:solidFill>
                  <a:latin typeface="Calibri"/>
                  <a:ea typeface="Calibri"/>
                  <a:cs typeface="Calibri"/>
                </a:rPr>
                <a:pPr/>
                <a:t>70 M</a:t>
              </a:fld>
              <a:endParaRPr lang="en-US" sz="2800" kern="1200"/>
            </a:p>
          </xdr:txBody>
        </xdr:sp>
      </xdr:grpSp>
      <xdr:grpSp>
        <xdr:nvGrpSpPr>
          <xdr:cNvPr id="17" name="Group 16">
            <a:extLst>
              <a:ext uri="{FF2B5EF4-FFF2-40B4-BE49-F238E27FC236}">
                <a16:creationId xmlns:a16="http://schemas.microsoft.com/office/drawing/2014/main" id="{39A76C4A-7623-4011-B14A-17B93000263E}"/>
              </a:ext>
            </a:extLst>
          </xdr:cNvPr>
          <xdr:cNvGrpSpPr/>
        </xdr:nvGrpSpPr>
        <xdr:grpSpPr>
          <a:xfrm>
            <a:off x="6804660" y="207264"/>
            <a:ext cx="1440180" cy="967740"/>
            <a:chOff x="4884420" y="137160"/>
            <a:chExt cx="1577340" cy="853440"/>
          </a:xfrm>
        </xdr:grpSpPr>
        <xdr:sp macro="" textlink="">
          <xdr:nvSpPr>
            <xdr:cNvPr id="18" name="Rectangle: Rounded Corners 17">
              <a:extLst>
                <a:ext uri="{FF2B5EF4-FFF2-40B4-BE49-F238E27FC236}">
                  <a16:creationId xmlns:a16="http://schemas.microsoft.com/office/drawing/2014/main" id="{FD5390E0-A19C-CA72-44EF-1C7CD98D28E9}"/>
                </a:ext>
              </a:extLst>
            </xdr:cNvPr>
            <xdr:cNvSpPr/>
          </xdr:nvSpPr>
          <xdr:spPr>
            <a:xfrm>
              <a:off x="4884420" y="137160"/>
              <a:ext cx="1577340" cy="853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E10">
          <xdr:nvSpPr>
            <xdr:cNvPr id="19" name="TextBox 18">
              <a:extLst>
                <a:ext uri="{FF2B5EF4-FFF2-40B4-BE49-F238E27FC236}">
                  <a16:creationId xmlns:a16="http://schemas.microsoft.com/office/drawing/2014/main" id="{BEAD12F8-ABE3-775F-DE4B-367CD9881D6E}"/>
                </a:ext>
              </a:extLst>
            </xdr:cNvPr>
            <xdr:cNvSpPr txBox="1"/>
          </xdr:nvSpPr>
          <xdr:spPr>
            <a:xfrm>
              <a:off x="5059680" y="508929"/>
              <a:ext cx="1242060" cy="412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576DEB-4A35-498E-BE35-8AD4A8E6EC80}" type="TxLink">
                <a:rPr lang="en-US" sz="2000" b="1" i="0" u="none" strike="noStrike" kern="1200">
                  <a:solidFill>
                    <a:srgbClr val="000000"/>
                  </a:solidFill>
                  <a:latin typeface="Calibri"/>
                  <a:ea typeface="Calibri"/>
                  <a:cs typeface="Calibri"/>
                </a:rPr>
                <a:pPr/>
                <a:t>75,600K</a:t>
              </a:fld>
              <a:endParaRPr lang="en-US" sz="2000" b="1" kern="1200"/>
            </a:p>
          </xdr:txBody>
        </xdr:sp>
      </xdr:grpSp>
      <xdr:grpSp>
        <xdr:nvGrpSpPr>
          <xdr:cNvPr id="20" name="Group 19">
            <a:extLst>
              <a:ext uri="{FF2B5EF4-FFF2-40B4-BE49-F238E27FC236}">
                <a16:creationId xmlns:a16="http://schemas.microsoft.com/office/drawing/2014/main" id="{1F27C5C6-A3A2-45D2-8503-3B99EFEA009A}"/>
              </a:ext>
            </a:extLst>
          </xdr:cNvPr>
          <xdr:cNvGrpSpPr/>
        </xdr:nvGrpSpPr>
        <xdr:grpSpPr>
          <a:xfrm>
            <a:off x="12921427" y="184299"/>
            <a:ext cx="1351425" cy="996820"/>
            <a:chOff x="4848747" y="172250"/>
            <a:chExt cx="1480133" cy="852243"/>
          </a:xfrm>
        </xdr:grpSpPr>
        <xdr:sp macro="" textlink="">
          <xdr:nvSpPr>
            <xdr:cNvPr id="21" name="Rectangle: Rounded Corners 20">
              <a:extLst>
                <a:ext uri="{FF2B5EF4-FFF2-40B4-BE49-F238E27FC236}">
                  <a16:creationId xmlns:a16="http://schemas.microsoft.com/office/drawing/2014/main" id="{19A53F05-ED30-21A7-B439-25887D17E4EF}"/>
                </a:ext>
              </a:extLst>
            </xdr:cNvPr>
            <xdr:cNvSpPr/>
          </xdr:nvSpPr>
          <xdr:spPr>
            <a:xfrm>
              <a:off x="4848747" y="172250"/>
              <a:ext cx="1400326" cy="85224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E7">
          <xdr:nvSpPr>
            <xdr:cNvPr id="22" name="TextBox 21">
              <a:extLst>
                <a:ext uri="{FF2B5EF4-FFF2-40B4-BE49-F238E27FC236}">
                  <a16:creationId xmlns:a16="http://schemas.microsoft.com/office/drawing/2014/main" id="{AD9FF2D5-894F-1726-03AD-94F638B281D2}"/>
                </a:ext>
              </a:extLst>
            </xdr:cNvPr>
            <xdr:cNvSpPr txBox="1"/>
          </xdr:nvSpPr>
          <xdr:spPr>
            <a:xfrm>
              <a:off x="5319049" y="556492"/>
              <a:ext cx="1009831"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6D4205-DCF3-4CE2-B98D-E3CD32051AAA}" type="TxLink">
                <a:rPr lang="en-US" sz="1800" b="1" i="0" u="none" strike="noStrike" kern="1200">
                  <a:solidFill>
                    <a:srgbClr val="000000"/>
                  </a:solidFill>
                  <a:latin typeface="Calibri"/>
                  <a:ea typeface="Calibri"/>
                  <a:cs typeface="Calibri"/>
                </a:rPr>
                <a:pPr/>
                <a:t>8 M</a:t>
              </a:fld>
              <a:endParaRPr lang="en-US" sz="1800" b="1" kern="1200"/>
            </a:p>
          </xdr:txBody>
        </xdr:sp>
      </xdr:grpSp>
      <xdr:grpSp>
        <xdr:nvGrpSpPr>
          <xdr:cNvPr id="23" name="Group 22">
            <a:extLst>
              <a:ext uri="{FF2B5EF4-FFF2-40B4-BE49-F238E27FC236}">
                <a16:creationId xmlns:a16="http://schemas.microsoft.com/office/drawing/2014/main" id="{64FBB2FA-8FD7-477D-9D15-4694E2F8E279}"/>
              </a:ext>
            </a:extLst>
          </xdr:cNvPr>
          <xdr:cNvGrpSpPr/>
        </xdr:nvGrpSpPr>
        <xdr:grpSpPr>
          <a:xfrm>
            <a:off x="8336280" y="216408"/>
            <a:ext cx="1325880" cy="967740"/>
            <a:chOff x="4884420" y="137160"/>
            <a:chExt cx="1577340" cy="853440"/>
          </a:xfrm>
        </xdr:grpSpPr>
        <xdr:sp macro="" textlink="">
          <xdr:nvSpPr>
            <xdr:cNvPr id="24" name="Rectangle: Rounded Corners 23">
              <a:extLst>
                <a:ext uri="{FF2B5EF4-FFF2-40B4-BE49-F238E27FC236}">
                  <a16:creationId xmlns:a16="http://schemas.microsoft.com/office/drawing/2014/main" id="{88AFBE90-5701-42F7-75AB-DFFBF26A7991}"/>
                </a:ext>
              </a:extLst>
            </xdr:cNvPr>
            <xdr:cNvSpPr/>
          </xdr:nvSpPr>
          <xdr:spPr>
            <a:xfrm>
              <a:off x="4884420" y="137160"/>
              <a:ext cx="1577340" cy="853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F7">
          <xdr:nvSpPr>
            <xdr:cNvPr id="25" name="TextBox 24">
              <a:extLst>
                <a:ext uri="{FF2B5EF4-FFF2-40B4-BE49-F238E27FC236}">
                  <a16:creationId xmlns:a16="http://schemas.microsoft.com/office/drawing/2014/main" id="{CEF5D4F1-7C9A-9F05-1573-06AC484FB8B2}"/>
                </a:ext>
              </a:extLst>
            </xdr:cNvPr>
            <xdr:cNvSpPr txBox="1"/>
          </xdr:nvSpPr>
          <xdr:spPr>
            <a:xfrm>
              <a:off x="5258886" y="587220"/>
              <a:ext cx="934243"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545C7D-2E70-47D5-83F2-D8EF2A4AF4B4}" type="TxLink">
                <a:rPr lang="en-US" sz="1800" b="1" i="0" u="none" strike="noStrike" kern="1200">
                  <a:solidFill>
                    <a:srgbClr val="000000"/>
                  </a:solidFill>
                  <a:latin typeface="Calibri"/>
                  <a:ea typeface="Calibri"/>
                  <a:cs typeface="Calibri"/>
                </a:rPr>
                <a:pPr/>
                <a:t>11.40</a:t>
              </a:fld>
              <a:endParaRPr lang="en-US" sz="1800" b="1" kern="1200"/>
            </a:p>
          </xdr:txBody>
        </xdr:sp>
      </xdr:grpSp>
      <xdr:grpSp>
        <xdr:nvGrpSpPr>
          <xdr:cNvPr id="26" name="Group 25">
            <a:extLst>
              <a:ext uri="{FF2B5EF4-FFF2-40B4-BE49-F238E27FC236}">
                <a16:creationId xmlns:a16="http://schemas.microsoft.com/office/drawing/2014/main" id="{A531C40D-4B4E-416D-9021-95A41B98B160}"/>
              </a:ext>
            </a:extLst>
          </xdr:cNvPr>
          <xdr:cNvGrpSpPr/>
        </xdr:nvGrpSpPr>
        <xdr:grpSpPr>
          <a:xfrm>
            <a:off x="9757200" y="208221"/>
            <a:ext cx="1507732" cy="965259"/>
            <a:chOff x="4918588" y="241936"/>
            <a:chExt cx="1545052" cy="800807"/>
          </a:xfrm>
        </xdr:grpSpPr>
        <xdr:sp macro="" textlink="">
          <xdr:nvSpPr>
            <xdr:cNvPr id="27" name="Rectangle: Rounded Corners 26">
              <a:extLst>
                <a:ext uri="{FF2B5EF4-FFF2-40B4-BE49-F238E27FC236}">
                  <a16:creationId xmlns:a16="http://schemas.microsoft.com/office/drawing/2014/main" id="{74BDAB34-C1B0-650E-AA81-AF17D3C6EAAC}"/>
                </a:ext>
              </a:extLst>
            </xdr:cNvPr>
            <xdr:cNvSpPr/>
          </xdr:nvSpPr>
          <xdr:spPr>
            <a:xfrm>
              <a:off x="4918588" y="241936"/>
              <a:ext cx="1545052" cy="80080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E13">
          <xdr:nvSpPr>
            <xdr:cNvPr id="28" name="TextBox 27">
              <a:extLst>
                <a:ext uri="{FF2B5EF4-FFF2-40B4-BE49-F238E27FC236}">
                  <a16:creationId xmlns:a16="http://schemas.microsoft.com/office/drawing/2014/main" id="{A65D21F6-8167-EAAE-DDCC-DAC83DE00900}"/>
                </a:ext>
              </a:extLst>
            </xdr:cNvPr>
            <xdr:cNvSpPr txBox="1"/>
          </xdr:nvSpPr>
          <xdr:spPr>
            <a:xfrm>
              <a:off x="5346469" y="634670"/>
              <a:ext cx="801624" cy="333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29D9A0-E931-4F3E-8705-8AE39E050A98}" type="TxLink">
                <a:rPr lang="en-US" sz="1800" b="1" i="0" u="none" strike="noStrike" kern="1200">
                  <a:solidFill>
                    <a:srgbClr val="000000"/>
                  </a:solidFill>
                  <a:latin typeface="Calibri"/>
                  <a:ea typeface="Calibri"/>
                  <a:cs typeface="Calibri"/>
                </a:rPr>
                <a:pPr/>
                <a:t>7.56</a:t>
              </a:fld>
              <a:endParaRPr lang="en-US" sz="1800" b="1" kern="1200"/>
            </a:p>
          </xdr:txBody>
        </xdr:sp>
      </xdr:grpSp>
      <xdr:grpSp>
        <xdr:nvGrpSpPr>
          <xdr:cNvPr id="29" name="Group 28">
            <a:extLst>
              <a:ext uri="{FF2B5EF4-FFF2-40B4-BE49-F238E27FC236}">
                <a16:creationId xmlns:a16="http://schemas.microsoft.com/office/drawing/2014/main" id="{6C1FB43D-B14A-4758-AFB0-C5C1A8321AB2}"/>
              </a:ext>
            </a:extLst>
          </xdr:cNvPr>
          <xdr:cNvGrpSpPr/>
        </xdr:nvGrpSpPr>
        <xdr:grpSpPr>
          <a:xfrm>
            <a:off x="11399556" y="192271"/>
            <a:ext cx="1441457" cy="981208"/>
            <a:chOff x="4900722" y="215068"/>
            <a:chExt cx="1538050" cy="820114"/>
          </a:xfrm>
        </xdr:grpSpPr>
        <xdr:sp macro="" textlink="">
          <xdr:nvSpPr>
            <xdr:cNvPr id="30" name="Rectangle: Rounded Corners 29">
              <a:extLst>
                <a:ext uri="{FF2B5EF4-FFF2-40B4-BE49-F238E27FC236}">
                  <a16:creationId xmlns:a16="http://schemas.microsoft.com/office/drawing/2014/main" id="{C4270EB7-DA45-F79B-A956-B76D47DFA033}"/>
                </a:ext>
              </a:extLst>
            </xdr:cNvPr>
            <xdr:cNvSpPr/>
          </xdr:nvSpPr>
          <xdr:spPr>
            <a:xfrm>
              <a:off x="4900722" y="215068"/>
              <a:ext cx="1538050" cy="820114"/>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G4">
          <xdr:nvSpPr>
            <xdr:cNvPr id="31" name="TextBox 30">
              <a:extLst>
                <a:ext uri="{FF2B5EF4-FFF2-40B4-BE49-F238E27FC236}">
                  <a16:creationId xmlns:a16="http://schemas.microsoft.com/office/drawing/2014/main" id="{7434F08E-399F-483C-ED27-BBA56C6B083D}"/>
                </a:ext>
              </a:extLst>
            </xdr:cNvPr>
            <xdr:cNvSpPr txBox="1"/>
          </xdr:nvSpPr>
          <xdr:spPr>
            <a:xfrm>
              <a:off x="5353899" y="647700"/>
              <a:ext cx="895369"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CA20F6-C7D7-4619-821B-188A711E9E41}" type="TxLink">
                <a:rPr lang="en-US" sz="1800" b="1" i="0" u="none" strike="noStrike" kern="1200">
                  <a:solidFill>
                    <a:sysClr val="windowText" lastClr="000000"/>
                  </a:solidFill>
                  <a:latin typeface="Calibri"/>
                  <a:ea typeface="Calibri"/>
                  <a:cs typeface="Calibri"/>
                </a:rPr>
                <a:pPr/>
                <a:t>3.27</a:t>
              </a:fld>
              <a:endParaRPr lang="en-US" sz="1800" b="1" kern="1200">
                <a:solidFill>
                  <a:sysClr val="windowText" lastClr="000000"/>
                </a:solidFill>
              </a:endParaRPr>
            </a:p>
          </xdr:txBody>
        </xdr:sp>
      </xdr:grpSp>
    </xdr:grpSp>
    <xdr:clientData/>
  </xdr:twoCellAnchor>
  <xdr:oneCellAnchor>
    <xdr:from>
      <xdr:col>12</xdr:col>
      <xdr:colOff>335280</xdr:colOff>
      <xdr:row>2</xdr:row>
      <xdr:rowOff>99060</xdr:rowOff>
    </xdr:from>
    <xdr:ext cx="184731" cy="264560"/>
    <xdr:sp macro="" textlink="">
      <xdr:nvSpPr>
        <xdr:cNvPr id="33" name="TextBox 32">
          <a:extLst>
            <a:ext uri="{FF2B5EF4-FFF2-40B4-BE49-F238E27FC236}">
              <a16:creationId xmlns:a16="http://schemas.microsoft.com/office/drawing/2014/main" id="{A0A14DFD-1E93-51B6-12E7-1E8A8A7A12C7}"/>
            </a:ext>
          </a:extLst>
        </xdr:cNvPr>
        <xdr:cNvSpPr txBox="1"/>
      </xdr:nvSpPr>
      <xdr:spPr>
        <a:xfrm>
          <a:off x="7650480" y="548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kern="1200"/>
        </a:p>
      </xdr:txBody>
    </xdr:sp>
    <xdr:clientData/>
  </xdr:oneCellAnchor>
  <xdr:twoCellAnchor>
    <xdr:from>
      <xdr:col>4</xdr:col>
      <xdr:colOff>161713</xdr:colOff>
      <xdr:row>6</xdr:row>
      <xdr:rowOff>37253</xdr:rowOff>
    </xdr:from>
    <xdr:to>
      <xdr:col>14</xdr:col>
      <xdr:colOff>77893</xdr:colOff>
      <xdr:row>17</xdr:row>
      <xdr:rowOff>75353</xdr:rowOff>
    </xdr:to>
    <xdr:graphicFrame macro="">
      <xdr:nvGraphicFramePr>
        <xdr:cNvPr id="47" name="Chart 46">
          <a:extLst>
            <a:ext uri="{FF2B5EF4-FFF2-40B4-BE49-F238E27FC236}">
              <a16:creationId xmlns:a16="http://schemas.microsoft.com/office/drawing/2014/main" id="{F2E0F382-00D9-4B06-9691-45DD9D632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137160</xdr:colOff>
      <xdr:row>17</xdr:row>
      <xdr:rowOff>121920</xdr:rowOff>
    </xdr:from>
    <xdr:to>
      <xdr:col>14</xdr:col>
      <xdr:colOff>91440</xdr:colOff>
      <xdr:row>28</xdr:row>
      <xdr:rowOff>129540</xdr:rowOff>
    </xdr:to>
    <xdr:graphicFrame macro="">
      <xdr:nvGraphicFramePr>
        <xdr:cNvPr id="55" name="Chart 54">
          <a:extLst>
            <a:ext uri="{FF2B5EF4-FFF2-40B4-BE49-F238E27FC236}">
              <a16:creationId xmlns:a16="http://schemas.microsoft.com/office/drawing/2014/main" id="{ADFBB03A-4714-4ECE-A1A9-3701D2C99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168486</xdr:colOff>
      <xdr:row>6</xdr:row>
      <xdr:rowOff>38947</xdr:rowOff>
    </xdr:from>
    <xdr:to>
      <xdr:col>25</xdr:col>
      <xdr:colOff>372534</xdr:colOff>
      <xdr:row>17</xdr:row>
      <xdr:rowOff>99907</xdr:rowOff>
    </xdr:to>
    <xdr:graphicFrame macro="">
      <xdr:nvGraphicFramePr>
        <xdr:cNvPr id="57" name="Chart 56">
          <a:extLst>
            <a:ext uri="{FF2B5EF4-FFF2-40B4-BE49-F238E27FC236}">
              <a16:creationId xmlns:a16="http://schemas.microsoft.com/office/drawing/2014/main" id="{E9420CB1-C3A0-4A96-ABAE-2DA8B9E51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167640</xdr:colOff>
      <xdr:row>6</xdr:row>
      <xdr:rowOff>15240</xdr:rowOff>
    </xdr:from>
    <xdr:to>
      <xdr:col>4</xdr:col>
      <xdr:colOff>114300</xdr:colOff>
      <xdr:row>28</xdr:row>
      <xdr:rowOff>160866</xdr:rowOff>
    </xdr:to>
    <xdr:grpSp>
      <xdr:nvGrpSpPr>
        <xdr:cNvPr id="59" name="Group 58">
          <a:extLst>
            <a:ext uri="{FF2B5EF4-FFF2-40B4-BE49-F238E27FC236}">
              <a16:creationId xmlns:a16="http://schemas.microsoft.com/office/drawing/2014/main" id="{DC77CA89-9DF0-D7C0-E032-FAB2840F8FF7}"/>
            </a:ext>
          </a:extLst>
        </xdr:cNvPr>
        <xdr:cNvGrpSpPr/>
      </xdr:nvGrpSpPr>
      <xdr:grpSpPr>
        <a:xfrm>
          <a:off x="774657" y="1216359"/>
          <a:ext cx="1767711" cy="4175185"/>
          <a:chOff x="777240" y="1226820"/>
          <a:chExt cx="1775460" cy="4175760"/>
        </a:xfrm>
      </xdr:grpSpPr>
      <xdr:grpSp>
        <xdr:nvGrpSpPr>
          <xdr:cNvPr id="49" name="Group 48">
            <a:extLst>
              <a:ext uri="{FF2B5EF4-FFF2-40B4-BE49-F238E27FC236}">
                <a16:creationId xmlns:a16="http://schemas.microsoft.com/office/drawing/2014/main" id="{F83F882B-26B9-44B1-8104-F93C5E49DE9A}"/>
              </a:ext>
            </a:extLst>
          </xdr:cNvPr>
          <xdr:cNvGrpSpPr/>
        </xdr:nvGrpSpPr>
        <xdr:grpSpPr>
          <a:xfrm>
            <a:off x="777240" y="1226820"/>
            <a:ext cx="1775460" cy="4175760"/>
            <a:chOff x="792480" y="1249680"/>
            <a:chExt cx="1516380" cy="3802380"/>
          </a:xfrm>
        </xdr:grpSpPr>
        <xdr:sp macro="" textlink="">
          <xdr:nvSpPr>
            <xdr:cNvPr id="50" name="Rectangle 49">
              <a:extLst>
                <a:ext uri="{FF2B5EF4-FFF2-40B4-BE49-F238E27FC236}">
                  <a16:creationId xmlns:a16="http://schemas.microsoft.com/office/drawing/2014/main" id="{50546E11-213F-43CA-8705-82D7A6A59FA7}"/>
                </a:ext>
              </a:extLst>
            </xdr:cNvPr>
            <xdr:cNvSpPr/>
          </xdr:nvSpPr>
          <xdr:spPr>
            <a:xfrm>
              <a:off x="792480" y="1249680"/>
              <a:ext cx="1516380" cy="380238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mc:AlternateContent xmlns:mc="http://schemas.openxmlformats.org/markup-compatibility/2006" xmlns:a14="http://schemas.microsoft.com/office/drawing/2010/main">
          <mc:Choice Requires="a14">
            <xdr:graphicFrame macro="">
              <xdr:nvGraphicFramePr>
                <xdr:cNvPr id="51" name="Campaign_Type 5">
                  <a:extLst>
                    <a:ext uri="{FF2B5EF4-FFF2-40B4-BE49-F238E27FC236}">
                      <a16:creationId xmlns:a16="http://schemas.microsoft.com/office/drawing/2014/main" id="{2050FC05-4B4B-7324-9AB8-D06A24ACE3CE}"/>
                    </a:ext>
                  </a:extLst>
                </xdr:cNvPr>
                <xdr:cNvGraphicFramePr/>
              </xdr:nvGraphicFramePr>
              <xdr:xfrm>
                <a:off x="838200" y="1310640"/>
                <a:ext cx="1417320" cy="1722120"/>
              </xdr:xfrm>
              <a:graphic>
                <a:graphicData uri="http://schemas.microsoft.com/office/drawing/2010/slicer">
                  <sle:slicer xmlns:sle="http://schemas.microsoft.com/office/drawing/2010/slicer" name="Campaign_Type 5"/>
                </a:graphicData>
              </a:graphic>
            </xdr:graphicFrame>
          </mc:Choice>
          <mc:Fallback xmlns="">
            <xdr:sp macro="" textlink="">
              <xdr:nvSpPr>
                <xdr:cNvPr id="0" name=""/>
                <xdr:cNvSpPr>
                  <a:spLocks noTextEdit="1"/>
                </xdr:cNvSpPr>
              </xdr:nvSpPr>
              <xdr:spPr>
                <a:xfrm>
                  <a:off x="827955" y="1283296"/>
                  <a:ext cx="1652232" cy="1890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58" name="Channel_Used 1">
                <a:extLst>
                  <a:ext uri="{FF2B5EF4-FFF2-40B4-BE49-F238E27FC236}">
                    <a16:creationId xmlns:a16="http://schemas.microsoft.com/office/drawing/2014/main" id="{E54B1F76-C699-4901-B4E9-DD0CDD19F4C0}"/>
                  </a:ext>
                </a:extLst>
              </xdr:cNvPr>
              <xdr:cNvGraphicFramePr/>
            </xdr:nvGraphicFramePr>
            <xdr:xfrm>
              <a:off x="792480" y="3238500"/>
              <a:ext cx="1706880" cy="1939909"/>
            </xdr:xfrm>
            <a:graphic>
              <a:graphicData uri="http://schemas.microsoft.com/office/drawing/2010/slicer">
                <sle:slicer xmlns:sle="http://schemas.microsoft.com/office/drawing/2010/slicer" name="Channel_Used 1"/>
              </a:graphicData>
            </a:graphic>
          </xdr:graphicFrame>
        </mc:Choice>
        <mc:Fallback xmlns="">
          <xdr:sp macro="" textlink="">
            <xdr:nvSpPr>
              <xdr:cNvPr id="0" name=""/>
              <xdr:cNvSpPr>
                <a:spLocks noTextEdit="1"/>
              </xdr:cNvSpPr>
            </xdr:nvSpPr>
            <xdr:spPr>
              <a:xfrm>
                <a:off x="789830" y="3227762"/>
                <a:ext cx="1699430" cy="1939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14</xdr:col>
      <xdr:colOff>175259</xdr:colOff>
      <xdr:row>17</xdr:row>
      <xdr:rowOff>137160</xdr:rowOff>
    </xdr:from>
    <xdr:to>
      <xdr:col>25</xdr:col>
      <xdr:colOff>381000</xdr:colOff>
      <xdr:row>28</xdr:row>
      <xdr:rowOff>121920</xdr:rowOff>
    </xdr:to>
    <xdr:graphicFrame macro="">
      <xdr:nvGraphicFramePr>
        <xdr:cNvPr id="60" name="Chart 59">
          <a:extLst>
            <a:ext uri="{FF2B5EF4-FFF2-40B4-BE49-F238E27FC236}">
              <a16:creationId xmlns:a16="http://schemas.microsoft.com/office/drawing/2014/main" id="{F7D3F9B3-0329-4EC9-8B81-318667A8C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373380</xdr:colOff>
      <xdr:row>0</xdr:row>
      <xdr:rowOff>82334</xdr:rowOff>
    </xdr:from>
    <xdr:to>
      <xdr:col>8</xdr:col>
      <xdr:colOff>231250</xdr:colOff>
      <xdr:row>5</xdr:row>
      <xdr:rowOff>126903</xdr:rowOff>
    </xdr:to>
    <xdr:sp macro="" textlink="">
      <xdr:nvSpPr>
        <xdr:cNvPr id="2" name="Rectangle 1">
          <a:extLst>
            <a:ext uri="{FF2B5EF4-FFF2-40B4-BE49-F238E27FC236}">
              <a16:creationId xmlns:a16="http://schemas.microsoft.com/office/drawing/2014/main" id="{39898831-9240-8893-9A1F-87EB9E3428D4}"/>
            </a:ext>
          </a:extLst>
        </xdr:cNvPr>
        <xdr:cNvSpPr/>
      </xdr:nvSpPr>
      <xdr:spPr>
        <a:xfrm>
          <a:off x="982980" y="82334"/>
          <a:ext cx="4125070" cy="1085969"/>
        </a:xfrm>
        <a:prstGeom prst="rect">
          <a:avLst/>
        </a:prstGeom>
        <a:noFill/>
      </xdr:spPr>
      <xdr:txBody>
        <a:bodyPr wrap="square" lIns="91440" tIns="45720" rIns="91440" bIns="45720">
          <a:noAutofit/>
        </a:bodyP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Marketing Campain Analysis</a:t>
          </a:r>
        </a:p>
      </xdr:txBody>
    </xdr:sp>
    <xdr:clientData/>
  </xdr:twoCellAnchor>
  <xdr:twoCellAnchor>
    <xdr:from>
      <xdr:col>0</xdr:col>
      <xdr:colOff>16934</xdr:colOff>
      <xdr:row>6</xdr:row>
      <xdr:rowOff>25400</xdr:rowOff>
    </xdr:from>
    <xdr:to>
      <xdr:col>1</xdr:col>
      <xdr:colOff>154094</xdr:colOff>
      <xdr:row>29</xdr:row>
      <xdr:rowOff>12915</xdr:rowOff>
    </xdr:to>
    <xdr:sp macro="" textlink="">
      <xdr:nvSpPr>
        <xdr:cNvPr id="11" name="Rectangle 10">
          <a:extLst>
            <a:ext uri="{FF2B5EF4-FFF2-40B4-BE49-F238E27FC236}">
              <a16:creationId xmlns:a16="http://schemas.microsoft.com/office/drawing/2014/main" id="{33BBAD1A-E0FD-40E9-E37C-5E350060F88E}"/>
            </a:ext>
          </a:extLst>
        </xdr:cNvPr>
        <xdr:cNvSpPr/>
      </xdr:nvSpPr>
      <xdr:spPr>
        <a:xfrm>
          <a:off x="16934" y="1226519"/>
          <a:ext cx="744177" cy="419788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0</xdr:col>
      <xdr:colOff>33868</xdr:colOff>
      <xdr:row>6</xdr:row>
      <xdr:rowOff>110067</xdr:rowOff>
    </xdr:from>
    <xdr:to>
      <xdr:col>1</xdr:col>
      <xdr:colOff>84668</xdr:colOff>
      <xdr:row>10</xdr:row>
      <xdr:rowOff>25401</xdr:rowOff>
    </xdr:to>
    <xdr:pic>
      <xdr:nvPicPr>
        <xdr:cNvPr id="36" name="Picture 35">
          <a:hlinkClick xmlns:r="http://schemas.openxmlformats.org/officeDocument/2006/relationships" r:id="rId7"/>
          <a:extLst>
            <a:ext uri="{FF2B5EF4-FFF2-40B4-BE49-F238E27FC236}">
              <a16:creationId xmlns:a16="http://schemas.microsoft.com/office/drawing/2014/main" id="{A9E823CB-8376-2526-D663-9C35F28728E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3868" y="1337734"/>
          <a:ext cx="660400" cy="660400"/>
        </a:xfrm>
        <a:prstGeom prst="rect">
          <a:avLst/>
        </a:prstGeom>
      </xdr:spPr>
    </xdr:pic>
    <xdr:clientData/>
  </xdr:twoCellAnchor>
  <xdr:twoCellAnchor editAs="oneCell">
    <xdr:from>
      <xdr:col>0</xdr:col>
      <xdr:colOff>0</xdr:colOff>
      <xdr:row>11</xdr:row>
      <xdr:rowOff>169333</xdr:rowOff>
    </xdr:from>
    <xdr:to>
      <xdr:col>1</xdr:col>
      <xdr:colOff>102085</xdr:colOff>
      <xdr:row>15</xdr:row>
      <xdr:rowOff>93618</xdr:rowOff>
    </xdr:to>
    <xdr:pic>
      <xdr:nvPicPr>
        <xdr:cNvPr id="38" name="Picture 37">
          <a:hlinkClick xmlns:r="http://schemas.openxmlformats.org/officeDocument/2006/relationships" r:id="rId9"/>
          <a:extLst>
            <a:ext uri="{FF2B5EF4-FFF2-40B4-BE49-F238E27FC236}">
              <a16:creationId xmlns:a16="http://schemas.microsoft.com/office/drawing/2014/main" id="{24ECDB6F-D7D2-754C-A778-A8CD9B77218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2328333"/>
          <a:ext cx="711685" cy="711685"/>
        </a:xfrm>
        <a:prstGeom prst="rect">
          <a:avLst/>
        </a:prstGeom>
      </xdr:spPr>
    </xdr:pic>
    <xdr:clientData/>
  </xdr:twoCellAnchor>
  <xdr:twoCellAnchor editAs="oneCell">
    <xdr:from>
      <xdr:col>0</xdr:col>
      <xdr:colOff>16935</xdr:colOff>
      <xdr:row>17</xdr:row>
      <xdr:rowOff>16322</xdr:rowOff>
    </xdr:from>
    <xdr:to>
      <xdr:col>1</xdr:col>
      <xdr:colOff>143935</xdr:colOff>
      <xdr:row>21</xdr:row>
      <xdr:rowOff>7855</xdr:rowOff>
    </xdr:to>
    <xdr:pic>
      <xdr:nvPicPr>
        <xdr:cNvPr id="42" name="Picture 41">
          <a:hlinkClick xmlns:r="http://schemas.openxmlformats.org/officeDocument/2006/relationships" r:id="rId11"/>
          <a:extLst>
            <a:ext uri="{FF2B5EF4-FFF2-40B4-BE49-F238E27FC236}">
              <a16:creationId xmlns:a16="http://schemas.microsoft.com/office/drawing/2014/main" id="{9EA7B746-08AA-B9FA-CD25-7E96E8370CA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6935" y="3335255"/>
          <a:ext cx="736600" cy="736600"/>
        </a:xfrm>
        <a:prstGeom prst="rect">
          <a:avLst/>
        </a:prstGeom>
      </xdr:spPr>
    </xdr:pic>
    <xdr:clientData/>
  </xdr:twoCellAnchor>
  <xdr:twoCellAnchor editAs="oneCell">
    <xdr:from>
      <xdr:col>0</xdr:col>
      <xdr:colOff>67733</xdr:colOff>
      <xdr:row>22</xdr:row>
      <xdr:rowOff>42333</xdr:rowOff>
    </xdr:from>
    <xdr:to>
      <xdr:col>1</xdr:col>
      <xdr:colOff>36762</xdr:colOff>
      <xdr:row>25</xdr:row>
      <xdr:rowOff>137881</xdr:rowOff>
    </xdr:to>
    <xdr:pic>
      <xdr:nvPicPr>
        <xdr:cNvPr id="44" name="Picture 43">
          <a:hlinkClick xmlns:r="http://schemas.openxmlformats.org/officeDocument/2006/relationships" r:id="rId13"/>
          <a:extLst>
            <a:ext uri="{FF2B5EF4-FFF2-40B4-BE49-F238E27FC236}">
              <a16:creationId xmlns:a16="http://schemas.microsoft.com/office/drawing/2014/main" id="{82009320-F352-8511-0A57-6ECE118C543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7733" y="4292600"/>
          <a:ext cx="578629" cy="6543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22860</xdr:colOff>
      <xdr:row>0</xdr:row>
      <xdr:rowOff>60960</xdr:rowOff>
    </xdr:from>
    <xdr:to>
      <xdr:col>2</xdr:col>
      <xdr:colOff>30480</xdr:colOff>
      <xdr:row>6</xdr:row>
      <xdr:rowOff>30480</xdr:rowOff>
    </xdr:to>
    <xdr:pic>
      <xdr:nvPicPr>
        <xdr:cNvPr id="2" name="Picture 1">
          <a:hlinkClick xmlns:r="http://schemas.openxmlformats.org/officeDocument/2006/relationships" r:id="rId1"/>
          <a:extLst>
            <a:ext uri="{FF2B5EF4-FFF2-40B4-BE49-F238E27FC236}">
              <a16:creationId xmlns:a16="http://schemas.microsoft.com/office/drawing/2014/main" id="{F0FD3A4F-FEB6-4A81-9C1F-2DDBDC9CA04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 y="60960"/>
          <a:ext cx="1226820" cy="1181100"/>
        </a:xfrm>
        <a:prstGeom prst="rect">
          <a:avLst/>
        </a:prstGeom>
      </xdr:spPr>
    </xdr:pic>
    <xdr:clientData/>
  </xdr:twoCellAnchor>
  <xdr:twoCellAnchor editAs="oneCell">
    <xdr:from>
      <xdr:col>24</xdr:col>
      <xdr:colOff>44436</xdr:colOff>
      <xdr:row>0</xdr:row>
      <xdr:rowOff>77142</xdr:rowOff>
    </xdr:from>
    <xdr:to>
      <xdr:col>25</xdr:col>
      <xdr:colOff>568503</xdr:colOff>
      <xdr:row>6</xdr:row>
      <xdr:rowOff>4024</xdr:rowOff>
    </xdr:to>
    <xdr:pic>
      <xdr:nvPicPr>
        <xdr:cNvPr id="3" name="Picture 2">
          <a:extLst>
            <a:ext uri="{FF2B5EF4-FFF2-40B4-BE49-F238E27FC236}">
              <a16:creationId xmlns:a16="http://schemas.microsoft.com/office/drawing/2014/main" id="{E2E4B10F-ABEE-45C1-A419-F35967FC136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33739" y="77142"/>
          <a:ext cx="1131955" cy="1125534"/>
        </a:xfrm>
        <a:prstGeom prst="rect">
          <a:avLst/>
        </a:prstGeom>
      </xdr:spPr>
    </xdr:pic>
    <xdr:clientData/>
  </xdr:twoCellAnchor>
  <xdr:oneCellAnchor>
    <xdr:from>
      <xdr:col>11</xdr:col>
      <xdr:colOff>288635</xdr:colOff>
      <xdr:row>11</xdr:row>
      <xdr:rowOff>30295</xdr:rowOff>
    </xdr:from>
    <xdr:ext cx="184730" cy="937629"/>
    <xdr:sp macro="" textlink="">
      <xdr:nvSpPr>
        <xdr:cNvPr id="5" name="Rectangle 4">
          <a:extLst>
            <a:ext uri="{FF2B5EF4-FFF2-40B4-BE49-F238E27FC236}">
              <a16:creationId xmlns:a16="http://schemas.microsoft.com/office/drawing/2014/main" id="{4F1DEAC1-CD17-420A-ACA5-6D51F37BFDEE}"/>
            </a:ext>
          </a:extLst>
        </xdr:cNvPr>
        <xdr:cNvSpPr/>
      </xdr:nvSpPr>
      <xdr:spPr>
        <a:xfrm>
          <a:off x="6994235" y="2156275"/>
          <a:ext cx="184730" cy="937629"/>
        </a:xfrm>
        <a:prstGeom prst="rect">
          <a:avLst/>
        </a:prstGeom>
        <a:noFill/>
      </xdr:spPr>
      <xdr:txBody>
        <a:bodyPr wrap="none" lIns="91440" tIns="45720" rIns="91440" bIns="45720">
          <a:spAutoFit/>
        </a:bodyPr>
        <a:lstStyle/>
        <a:p>
          <a:pPr algn="ctr"/>
          <a:endPar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twoCellAnchor>
    <xdr:from>
      <xdr:col>8</xdr:col>
      <xdr:colOff>404518</xdr:colOff>
      <xdr:row>0</xdr:row>
      <xdr:rowOff>152400</xdr:rowOff>
    </xdr:from>
    <xdr:to>
      <xdr:col>23</xdr:col>
      <xdr:colOff>313317</xdr:colOff>
      <xdr:row>5</xdr:row>
      <xdr:rowOff>155448</xdr:rowOff>
    </xdr:to>
    <xdr:grpSp>
      <xdr:nvGrpSpPr>
        <xdr:cNvPr id="6" name="Group 5">
          <a:extLst>
            <a:ext uri="{FF2B5EF4-FFF2-40B4-BE49-F238E27FC236}">
              <a16:creationId xmlns:a16="http://schemas.microsoft.com/office/drawing/2014/main" id="{EB9327B2-01C6-46CE-92BB-BC81C07FA9C2}"/>
            </a:ext>
          </a:extLst>
        </xdr:cNvPr>
        <xdr:cNvGrpSpPr/>
      </xdr:nvGrpSpPr>
      <xdr:grpSpPr>
        <a:xfrm>
          <a:off x="5296370" y="152400"/>
          <a:ext cx="9081021" cy="1019048"/>
          <a:chOff x="5288280" y="152400"/>
          <a:chExt cx="8984573" cy="1031748"/>
        </a:xfrm>
      </xdr:grpSpPr>
      <xdr:grpSp>
        <xdr:nvGrpSpPr>
          <xdr:cNvPr id="7" name="Group 6">
            <a:extLst>
              <a:ext uri="{FF2B5EF4-FFF2-40B4-BE49-F238E27FC236}">
                <a16:creationId xmlns:a16="http://schemas.microsoft.com/office/drawing/2014/main" id="{657E3B79-5A5D-B837-BD21-C131101B777F}"/>
              </a:ext>
            </a:extLst>
          </xdr:cNvPr>
          <xdr:cNvGrpSpPr/>
        </xdr:nvGrpSpPr>
        <xdr:grpSpPr>
          <a:xfrm>
            <a:off x="5288280" y="198120"/>
            <a:ext cx="1424940" cy="967740"/>
            <a:chOff x="4884420" y="137160"/>
            <a:chExt cx="1577340" cy="853440"/>
          </a:xfrm>
        </xdr:grpSpPr>
        <xdr:sp macro="" textlink="">
          <xdr:nvSpPr>
            <xdr:cNvPr id="23" name="Rectangle: Rounded Corners 22">
              <a:extLst>
                <a:ext uri="{FF2B5EF4-FFF2-40B4-BE49-F238E27FC236}">
                  <a16:creationId xmlns:a16="http://schemas.microsoft.com/office/drawing/2014/main" id="{6A493881-3DD6-9562-4471-EA4ED6C7DC37}"/>
                </a:ext>
              </a:extLst>
            </xdr:cNvPr>
            <xdr:cNvSpPr/>
          </xdr:nvSpPr>
          <xdr:spPr>
            <a:xfrm>
              <a:off x="4884420" y="137160"/>
              <a:ext cx="1577340" cy="853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F4">
          <xdr:nvSpPr>
            <xdr:cNvPr id="24" name="TextBox 23">
              <a:extLst>
                <a:ext uri="{FF2B5EF4-FFF2-40B4-BE49-F238E27FC236}">
                  <a16:creationId xmlns:a16="http://schemas.microsoft.com/office/drawing/2014/main" id="{1E029513-94BE-6E6E-037B-94DE637035A8}"/>
                </a:ext>
              </a:extLst>
            </xdr:cNvPr>
            <xdr:cNvSpPr txBox="1"/>
          </xdr:nvSpPr>
          <xdr:spPr>
            <a:xfrm>
              <a:off x="5234940" y="437956"/>
              <a:ext cx="1059180" cy="458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9DC89D-D3B0-471E-8320-91310175D769}" type="TxLink">
                <a:rPr lang="en-US" sz="2800" b="0" i="0" u="none" strike="noStrike" kern="1200">
                  <a:solidFill>
                    <a:srgbClr val="000000"/>
                  </a:solidFill>
                  <a:latin typeface="Calibri"/>
                  <a:ea typeface="Calibri"/>
                  <a:cs typeface="Calibri"/>
                </a:rPr>
                <a:pPr/>
                <a:t>70 M</a:t>
              </a:fld>
              <a:endParaRPr lang="en-US" sz="2800" kern="1200"/>
            </a:p>
          </xdr:txBody>
        </xdr:sp>
      </xdr:grpSp>
      <xdr:grpSp>
        <xdr:nvGrpSpPr>
          <xdr:cNvPr id="8" name="Group 7">
            <a:extLst>
              <a:ext uri="{FF2B5EF4-FFF2-40B4-BE49-F238E27FC236}">
                <a16:creationId xmlns:a16="http://schemas.microsoft.com/office/drawing/2014/main" id="{F7828B08-4BC6-3E03-5CED-69766418F56E}"/>
              </a:ext>
            </a:extLst>
          </xdr:cNvPr>
          <xdr:cNvGrpSpPr/>
        </xdr:nvGrpSpPr>
        <xdr:grpSpPr>
          <a:xfrm>
            <a:off x="6804660" y="207264"/>
            <a:ext cx="1440180" cy="967740"/>
            <a:chOff x="4884420" y="137160"/>
            <a:chExt cx="1577340" cy="853440"/>
          </a:xfrm>
        </xdr:grpSpPr>
        <xdr:sp macro="" textlink="">
          <xdr:nvSpPr>
            <xdr:cNvPr id="21" name="Rectangle: Rounded Corners 20">
              <a:extLst>
                <a:ext uri="{FF2B5EF4-FFF2-40B4-BE49-F238E27FC236}">
                  <a16:creationId xmlns:a16="http://schemas.microsoft.com/office/drawing/2014/main" id="{AB81BB41-61C6-2A96-A076-9946A7A58D51}"/>
                </a:ext>
              </a:extLst>
            </xdr:cNvPr>
            <xdr:cNvSpPr/>
          </xdr:nvSpPr>
          <xdr:spPr>
            <a:xfrm>
              <a:off x="4884420" y="137160"/>
              <a:ext cx="1577340" cy="853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E10">
          <xdr:nvSpPr>
            <xdr:cNvPr id="22" name="TextBox 21">
              <a:extLst>
                <a:ext uri="{FF2B5EF4-FFF2-40B4-BE49-F238E27FC236}">
                  <a16:creationId xmlns:a16="http://schemas.microsoft.com/office/drawing/2014/main" id="{86C2F560-3872-DD2D-0751-C16A8C0AD35A}"/>
                </a:ext>
              </a:extLst>
            </xdr:cNvPr>
            <xdr:cNvSpPr txBox="1"/>
          </xdr:nvSpPr>
          <xdr:spPr>
            <a:xfrm>
              <a:off x="5059680" y="508929"/>
              <a:ext cx="1242060" cy="412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576DEB-4A35-498E-BE35-8AD4A8E6EC80}" type="TxLink">
                <a:rPr lang="en-US" sz="2000" b="1" i="0" u="none" strike="noStrike" kern="1200">
                  <a:solidFill>
                    <a:srgbClr val="000000"/>
                  </a:solidFill>
                  <a:latin typeface="Calibri"/>
                  <a:ea typeface="Calibri"/>
                  <a:cs typeface="Calibri"/>
                </a:rPr>
                <a:pPr/>
                <a:t>75,600K</a:t>
              </a:fld>
              <a:endParaRPr lang="en-US" sz="2000" b="1" kern="1200"/>
            </a:p>
          </xdr:txBody>
        </xdr:sp>
      </xdr:grpSp>
      <xdr:grpSp>
        <xdr:nvGrpSpPr>
          <xdr:cNvPr id="9" name="Group 8">
            <a:extLst>
              <a:ext uri="{FF2B5EF4-FFF2-40B4-BE49-F238E27FC236}">
                <a16:creationId xmlns:a16="http://schemas.microsoft.com/office/drawing/2014/main" id="{85648391-5874-5101-6DF4-3023B3CC7123}"/>
              </a:ext>
            </a:extLst>
          </xdr:cNvPr>
          <xdr:cNvGrpSpPr/>
        </xdr:nvGrpSpPr>
        <xdr:grpSpPr>
          <a:xfrm>
            <a:off x="12980929" y="152400"/>
            <a:ext cx="1291924" cy="989075"/>
            <a:chOff x="4913915" y="144978"/>
            <a:chExt cx="1414965" cy="845622"/>
          </a:xfrm>
        </xdr:grpSpPr>
        <xdr:sp macro="" textlink="">
          <xdr:nvSpPr>
            <xdr:cNvPr id="19" name="Rectangle: Rounded Corners 18">
              <a:extLst>
                <a:ext uri="{FF2B5EF4-FFF2-40B4-BE49-F238E27FC236}">
                  <a16:creationId xmlns:a16="http://schemas.microsoft.com/office/drawing/2014/main" id="{1DC6AB7F-D70D-EB58-1874-9028444D3445}"/>
                </a:ext>
              </a:extLst>
            </xdr:cNvPr>
            <xdr:cNvSpPr/>
          </xdr:nvSpPr>
          <xdr:spPr>
            <a:xfrm>
              <a:off x="4913915" y="144978"/>
              <a:ext cx="1380512" cy="84562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E7">
          <xdr:nvSpPr>
            <xdr:cNvPr id="20" name="TextBox 19">
              <a:extLst>
                <a:ext uri="{FF2B5EF4-FFF2-40B4-BE49-F238E27FC236}">
                  <a16:creationId xmlns:a16="http://schemas.microsoft.com/office/drawing/2014/main" id="{A2056D34-B8B7-0755-1AC5-024ABFDF2375}"/>
                </a:ext>
              </a:extLst>
            </xdr:cNvPr>
            <xdr:cNvSpPr txBox="1"/>
          </xdr:nvSpPr>
          <xdr:spPr>
            <a:xfrm>
              <a:off x="5319049" y="556492"/>
              <a:ext cx="1009831"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6D4205-DCF3-4CE2-B98D-E3CD32051AAA}" type="TxLink">
                <a:rPr lang="en-US" sz="1800" b="1" i="0" u="none" strike="noStrike" kern="1200">
                  <a:solidFill>
                    <a:srgbClr val="000000"/>
                  </a:solidFill>
                  <a:latin typeface="Calibri"/>
                  <a:ea typeface="Calibri"/>
                  <a:cs typeface="Calibri"/>
                </a:rPr>
                <a:pPr/>
                <a:t>8 M</a:t>
              </a:fld>
              <a:endParaRPr lang="en-US" sz="1800" b="1" kern="1200"/>
            </a:p>
          </xdr:txBody>
        </xdr:sp>
      </xdr:grpSp>
      <xdr:grpSp>
        <xdr:nvGrpSpPr>
          <xdr:cNvPr id="10" name="Group 9">
            <a:extLst>
              <a:ext uri="{FF2B5EF4-FFF2-40B4-BE49-F238E27FC236}">
                <a16:creationId xmlns:a16="http://schemas.microsoft.com/office/drawing/2014/main" id="{3744763A-1138-42B8-BD80-A00137CC7E78}"/>
              </a:ext>
            </a:extLst>
          </xdr:cNvPr>
          <xdr:cNvGrpSpPr/>
        </xdr:nvGrpSpPr>
        <xdr:grpSpPr>
          <a:xfrm>
            <a:off x="8336280" y="216408"/>
            <a:ext cx="1325880" cy="967740"/>
            <a:chOff x="4884420" y="137160"/>
            <a:chExt cx="1577340" cy="853440"/>
          </a:xfrm>
        </xdr:grpSpPr>
        <xdr:sp macro="" textlink="">
          <xdr:nvSpPr>
            <xdr:cNvPr id="17" name="Rectangle: Rounded Corners 16">
              <a:extLst>
                <a:ext uri="{FF2B5EF4-FFF2-40B4-BE49-F238E27FC236}">
                  <a16:creationId xmlns:a16="http://schemas.microsoft.com/office/drawing/2014/main" id="{DC99FB3E-4F4E-9CB5-D531-9B5C132208CF}"/>
                </a:ext>
              </a:extLst>
            </xdr:cNvPr>
            <xdr:cNvSpPr/>
          </xdr:nvSpPr>
          <xdr:spPr>
            <a:xfrm>
              <a:off x="4884420" y="137160"/>
              <a:ext cx="1577340" cy="853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F7">
          <xdr:nvSpPr>
            <xdr:cNvPr id="18" name="TextBox 17">
              <a:extLst>
                <a:ext uri="{FF2B5EF4-FFF2-40B4-BE49-F238E27FC236}">
                  <a16:creationId xmlns:a16="http://schemas.microsoft.com/office/drawing/2014/main" id="{4E7536E5-5472-4C58-2733-C9CE3ADF0B77}"/>
                </a:ext>
              </a:extLst>
            </xdr:cNvPr>
            <xdr:cNvSpPr txBox="1"/>
          </xdr:nvSpPr>
          <xdr:spPr>
            <a:xfrm>
              <a:off x="5258886" y="587220"/>
              <a:ext cx="934243"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545C7D-2E70-47D5-83F2-D8EF2A4AF4B4}" type="TxLink">
                <a:rPr lang="en-US" sz="1800" b="1" i="0" u="none" strike="noStrike" kern="1200">
                  <a:solidFill>
                    <a:srgbClr val="000000"/>
                  </a:solidFill>
                  <a:latin typeface="Calibri"/>
                  <a:ea typeface="Calibri"/>
                  <a:cs typeface="Calibri"/>
                </a:rPr>
                <a:pPr/>
                <a:t>11.40</a:t>
              </a:fld>
              <a:endParaRPr lang="en-US" sz="1800" b="1" kern="1200"/>
            </a:p>
          </xdr:txBody>
        </xdr:sp>
      </xdr:grpSp>
      <xdr:grpSp>
        <xdr:nvGrpSpPr>
          <xdr:cNvPr id="11" name="Group 10">
            <a:extLst>
              <a:ext uri="{FF2B5EF4-FFF2-40B4-BE49-F238E27FC236}">
                <a16:creationId xmlns:a16="http://schemas.microsoft.com/office/drawing/2014/main" id="{E7B2B7A5-78BA-B7AC-9586-4B27C6828B3B}"/>
              </a:ext>
            </a:extLst>
          </xdr:cNvPr>
          <xdr:cNvGrpSpPr/>
        </xdr:nvGrpSpPr>
        <xdr:grpSpPr>
          <a:xfrm>
            <a:off x="9757199" y="164592"/>
            <a:ext cx="1535641" cy="1008888"/>
            <a:chOff x="4918588" y="205740"/>
            <a:chExt cx="1573652" cy="837003"/>
          </a:xfrm>
        </xdr:grpSpPr>
        <xdr:sp macro="" textlink="">
          <xdr:nvSpPr>
            <xdr:cNvPr id="15" name="Rectangle: Rounded Corners 14">
              <a:extLst>
                <a:ext uri="{FF2B5EF4-FFF2-40B4-BE49-F238E27FC236}">
                  <a16:creationId xmlns:a16="http://schemas.microsoft.com/office/drawing/2014/main" id="{33AAC95A-9269-28C2-1DA5-12EFD70FC2BE}"/>
                </a:ext>
              </a:extLst>
            </xdr:cNvPr>
            <xdr:cNvSpPr/>
          </xdr:nvSpPr>
          <xdr:spPr>
            <a:xfrm>
              <a:off x="4918588" y="205740"/>
              <a:ext cx="1573652" cy="83700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E13">
          <xdr:nvSpPr>
            <xdr:cNvPr id="16" name="TextBox 15">
              <a:extLst>
                <a:ext uri="{FF2B5EF4-FFF2-40B4-BE49-F238E27FC236}">
                  <a16:creationId xmlns:a16="http://schemas.microsoft.com/office/drawing/2014/main" id="{ECA07E3E-4C36-032C-F364-7531106ACD8A}"/>
                </a:ext>
              </a:extLst>
            </xdr:cNvPr>
            <xdr:cNvSpPr txBox="1"/>
          </xdr:nvSpPr>
          <xdr:spPr>
            <a:xfrm>
              <a:off x="5346469" y="634670"/>
              <a:ext cx="801624" cy="333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29D9A0-E931-4F3E-8705-8AE39E050A98}" type="TxLink">
                <a:rPr lang="en-US" sz="1800" b="1" i="0" u="none" strike="noStrike" kern="1200">
                  <a:solidFill>
                    <a:srgbClr val="000000"/>
                  </a:solidFill>
                  <a:latin typeface="Calibri"/>
                  <a:ea typeface="Calibri"/>
                  <a:cs typeface="Calibri"/>
                </a:rPr>
                <a:pPr/>
                <a:t>7.56</a:t>
              </a:fld>
              <a:endParaRPr lang="en-US" sz="1800" b="1" kern="1200"/>
            </a:p>
          </xdr:txBody>
        </xdr:sp>
      </xdr:grpSp>
      <xdr:grpSp>
        <xdr:nvGrpSpPr>
          <xdr:cNvPr id="12" name="Group 11">
            <a:extLst>
              <a:ext uri="{FF2B5EF4-FFF2-40B4-BE49-F238E27FC236}">
                <a16:creationId xmlns:a16="http://schemas.microsoft.com/office/drawing/2014/main" id="{E1652CCF-25ED-B570-4354-468B55DB11FB}"/>
              </a:ext>
            </a:extLst>
          </xdr:cNvPr>
          <xdr:cNvGrpSpPr/>
        </xdr:nvGrpSpPr>
        <xdr:grpSpPr>
          <a:xfrm>
            <a:off x="11399558" y="152400"/>
            <a:ext cx="1478280" cy="1021080"/>
            <a:chOff x="4900722" y="181743"/>
            <a:chExt cx="1577340" cy="853440"/>
          </a:xfrm>
        </xdr:grpSpPr>
        <xdr:sp macro="" textlink="">
          <xdr:nvSpPr>
            <xdr:cNvPr id="13" name="Rectangle: Rounded Corners 12">
              <a:extLst>
                <a:ext uri="{FF2B5EF4-FFF2-40B4-BE49-F238E27FC236}">
                  <a16:creationId xmlns:a16="http://schemas.microsoft.com/office/drawing/2014/main" id="{78DEF7C8-F0C3-1573-977F-90ADAF6FBA7E}"/>
                </a:ext>
              </a:extLst>
            </xdr:cNvPr>
            <xdr:cNvSpPr/>
          </xdr:nvSpPr>
          <xdr:spPr>
            <a:xfrm>
              <a:off x="4900722" y="181743"/>
              <a:ext cx="1577340" cy="853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G4">
          <xdr:nvSpPr>
            <xdr:cNvPr id="14" name="TextBox 13">
              <a:extLst>
                <a:ext uri="{FF2B5EF4-FFF2-40B4-BE49-F238E27FC236}">
                  <a16:creationId xmlns:a16="http://schemas.microsoft.com/office/drawing/2014/main" id="{D557FC48-0EDA-81C4-B807-AECC4959DD22}"/>
                </a:ext>
              </a:extLst>
            </xdr:cNvPr>
            <xdr:cNvSpPr txBox="1"/>
          </xdr:nvSpPr>
          <xdr:spPr>
            <a:xfrm>
              <a:off x="5353899" y="647700"/>
              <a:ext cx="895369"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CA20F6-C7D7-4619-821B-188A711E9E41}" type="TxLink">
                <a:rPr lang="en-US" sz="1800" b="1" i="0" u="none" strike="noStrike" kern="1200">
                  <a:solidFill>
                    <a:sysClr val="windowText" lastClr="000000"/>
                  </a:solidFill>
                  <a:latin typeface="Calibri"/>
                  <a:ea typeface="Calibri"/>
                  <a:cs typeface="Calibri"/>
                </a:rPr>
                <a:pPr/>
                <a:t>3.27</a:t>
              </a:fld>
              <a:endParaRPr lang="en-US" sz="1800" b="1" kern="1200">
                <a:solidFill>
                  <a:sysClr val="windowText" lastClr="000000"/>
                </a:solidFill>
              </a:endParaRPr>
            </a:p>
          </xdr:txBody>
        </xdr:sp>
      </xdr:grpSp>
    </xdr:grpSp>
    <xdr:clientData/>
  </xdr:twoCellAnchor>
  <xdr:oneCellAnchor>
    <xdr:from>
      <xdr:col>12</xdr:col>
      <xdr:colOff>335280</xdr:colOff>
      <xdr:row>2</xdr:row>
      <xdr:rowOff>99060</xdr:rowOff>
    </xdr:from>
    <xdr:ext cx="184731" cy="264560"/>
    <xdr:sp macro="" textlink="">
      <xdr:nvSpPr>
        <xdr:cNvPr id="25" name="TextBox 24">
          <a:extLst>
            <a:ext uri="{FF2B5EF4-FFF2-40B4-BE49-F238E27FC236}">
              <a16:creationId xmlns:a16="http://schemas.microsoft.com/office/drawing/2014/main" id="{E471DF5C-4D5E-49E6-8DEB-1D179EB47431}"/>
            </a:ext>
          </a:extLst>
        </xdr:cNvPr>
        <xdr:cNvSpPr txBox="1"/>
      </xdr:nvSpPr>
      <xdr:spPr>
        <a:xfrm>
          <a:off x="7650480" y="57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kern="1200"/>
        </a:p>
      </xdr:txBody>
    </xdr:sp>
    <xdr:clientData/>
  </xdr:oneCellAnchor>
  <xdr:twoCellAnchor>
    <xdr:from>
      <xdr:col>1</xdr:col>
      <xdr:colOff>175260</xdr:colOff>
      <xdr:row>6</xdr:row>
      <xdr:rowOff>22859</xdr:rowOff>
    </xdr:from>
    <xdr:to>
      <xdr:col>4</xdr:col>
      <xdr:colOff>121920</xdr:colOff>
      <xdr:row>36</xdr:row>
      <xdr:rowOff>162197</xdr:rowOff>
    </xdr:to>
    <xdr:grpSp>
      <xdr:nvGrpSpPr>
        <xdr:cNvPr id="35" name="Group 34">
          <a:extLst>
            <a:ext uri="{FF2B5EF4-FFF2-40B4-BE49-F238E27FC236}">
              <a16:creationId xmlns:a16="http://schemas.microsoft.com/office/drawing/2014/main" id="{016431E7-A36A-4E73-A5BC-7FA72B1DD411}"/>
            </a:ext>
          </a:extLst>
        </xdr:cNvPr>
        <xdr:cNvGrpSpPr/>
      </xdr:nvGrpSpPr>
      <xdr:grpSpPr>
        <a:xfrm>
          <a:off x="786741" y="1217600"/>
          <a:ext cx="1781105" cy="5548597"/>
          <a:chOff x="777240" y="1226820"/>
          <a:chExt cx="1775460" cy="4175760"/>
        </a:xfrm>
      </xdr:grpSpPr>
      <xdr:sp macro="" textlink="">
        <xdr:nvSpPr>
          <xdr:cNvPr id="38" name="Rectangle 37">
            <a:extLst>
              <a:ext uri="{FF2B5EF4-FFF2-40B4-BE49-F238E27FC236}">
                <a16:creationId xmlns:a16="http://schemas.microsoft.com/office/drawing/2014/main" id="{A9E72FF9-6BC8-9BAF-4F60-FFC4AF0AB31E}"/>
              </a:ext>
            </a:extLst>
          </xdr:cNvPr>
          <xdr:cNvSpPr/>
        </xdr:nvSpPr>
        <xdr:spPr>
          <a:xfrm>
            <a:off x="777240" y="1226820"/>
            <a:ext cx="1775460" cy="417576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mc:AlternateContent xmlns:mc="http://schemas.openxmlformats.org/markup-compatibility/2006" xmlns:a14="http://schemas.microsoft.com/office/drawing/2010/main">
        <mc:Choice Requires="a14">
          <xdr:graphicFrame macro="">
            <xdr:nvGraphicFramePr>
              <xdr:cNvPr id="37" name="Channel_Used 2">
                <a:extLst>
                  <a:ext uri="{FF2B5EF4-FFF2-40B4-BE49-F238E27FC236}">
                    <a16:creationId xmlns:a16="http://schemas.microsoft.com/office/drawing/2014/main" id="{4255BE21-F22A-507C-87D0-7A4A4396C90E}"/>
                  </a:ext>
                </a:extLst>
              </xdr:cNvPr>
              <xdr:cNvGraphicFramePr/>
            </xdr:nvGraphicFramePr>
            <xdr:xfrm>
              <a:off x="792480" y="3115780"/>
              <a:ext cx="1706880" cy="2155524"/>
            </xdr:xfrm>
            <a:graphic>
              <a:graphicData uri="http://schemas.microsoft.com/office/drawing/2010/slicer">
                <sle:slicer xmlns:sle="http://schemas.microsoft.com/office/drawing/2010/slicer" name="Channel_Used 2"/>
              </a:graphicData>
            </a:graphic>
          </xdr:graphicFrame>
        </mc:Choice>
        <mc:Fallback xmlns="">
          <xdr:sp macro="" textlink="">
            <xdr:nvSpPr>
              <xdr:cNvPr id="0" name=""/>
              <xdr:cNvSpPr>
                <a:spLocks noTextEdit="1"/>
              </xdr:cNvSpPr>
            </xdr:nvSpPr>
            <xdr:spPr>
              <a:xfrm>
                <a:off x="802029" y="3727581"/>
                <a:ext cx="1712307" cy="28641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171234</xdr:colOff>
      <xdr:row>6</xdr:row>
      <xdr:rowOff>59931</xdr:rowOff>
    </xdr:from>
    <xdr:to>
      <xdr:col>16</xdr:col>
      <xdr:colOff>602073</xdr:colOff>
      <xdr:row>20</xdr:row>
      <xdr:rowOff>0</xdr:rowOff>
    </xdr:to>
    <xdr:graphicFrame macro="">
      <xdr:nvGraphicFramePr>
        <xdr:cNvPr id="40" name="Chart 39">
          <a:extLst>
            <a:ext uri="{FF2B5EF4-FFF2-40B4-BE49-F238E27FC236}">
              <a16:creationId xmlns:a16="http://schemas.microsoft.com/office/drawing/2014/main" id="{21304DE9-B52F-42CF-9E79-43ABC0646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56445</xdr:colOff>
      <xdr:row>6</xdr:row>
      <xdr:rowOff>43655</xdr:rowOff>
    </xdr:from>
    <xdr:to>
      <xdr:col>26</xdr:col>
      <xdr:colOff>103481</xdr:colOff>
      <xdr:row>20</xdr:row>
      <xdr:rowOff>9408</xdr:rowOff>
    </xdr:to>
    <xdr:graphicFrame macro="">
      <xdr:nvGraphicFramePr>
        <xdr:cNvPr id="41" name="Chart 40">
          <a:extLst>
            <a:ext uri="{FF2B5EF4-FFF2-40B4-BE49-F238E27FC236}">
              <a16:creationId xmlns:a16="http://schemas.microsoft.com/office/drawing/2014/main" id="{A1889884-484C-42F4-955B-7D047581A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200945</xdr:colOff>
      <xdr:row>6</xdr:row>
      <xdr:rowOff>77055</xdr:rowOff>
    </xdr:from>
    <xdr:to>
      <xdr:col>4</xdr:col>
      <xdr:colOff>77055</xdr:colOff>
      <xdr:row>13</xdr:row>
      <xdr:rowOff>154111</xdr:rowOff>
    </xdr:to>
    <mc:AlternateContent xmlns:mc="http://schemas.openxmlformats.org/markup-compatibility/2006" xmlns:a14="http://schemas.microsoft.com/office/drawing/2010/main">
      <mc:Choice Requires="a14">
        <xdr:graphicFrame macro="">
          <xdr:nvGraphicFramePr>
            <xdr:cNvPr id="42" name="Age_group 1">
              <a:extLst>
                <a:ext uri="{FF2B5EF4-FFF2-40B4-BE49-F238E27FC236}">
                  <a16:creationId xmlns:a16="http://schemas.microsoft.com/office/drawing/2014/main" id="{6A3F33ED-DCC4-4570-B6FC-E7462DF65C05}"/>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812426" y="1271796"/>
              <a:ext cx="1710555" cy="1375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37629</xdr:colOff>
      <xdr:row>20</xdr:row>
      <xdr:rowOff>84667</xdr:rowOff>
    </xdr:from>
    <xdr:to>
      <xdr:col>26</xdr:col>
      <xdr:colOff>122295</xdr:colOff>
      <xdr:row>35</xdr:row>
      <xdr:rowOff>65852</xdr:rowOff>
    </xdr:to>
    <xdr:graphicFrame macro="">
      <xdr:nvGraphicFramePr>
        <xdr:cNvPr id="43" name="Chart 42">
          <a:extLst>
            <a:ext uri="{FF2B5EF4-FFF2-40B4-BE49-F238E27FC236}">
              <a16:creationId xmlns:a16="http://schemas.microsoft.com/office/drawing/2014/main" id="{F6E5BF06-5B33-42AC-A15B-09F259C78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169333</xdr:colOff>
      <xdr:row>20</xdr:row>
      <xdr:rowOff>75259</xdr:rowOff>
    </xdr:from>
    <xdr:to>
      <xdr:col>16</xdr:col>
      <xdr:colOff>583259</xdr:colOff>
      <xdr:row>35</xdr:row>
      <xdr:rowOff>80904</xdr:rowOff>
    </xdr:to>
    <xdr:graphicFrame macro="">
      <xdr:nvGraphicFramePr>
        <xdr:cNvPr id="44" name="Chart 43">
          <a:extLst>
            <a:ext uri="{FF2B5EF4-FFF2-40B4-BE49-F238E27FC236}">
              <a16:creationId xmlns:a16="http://schemas.microsoft.com/office/drawing/2014/main" id="{1E07499D-50F0-452C-B4B2-CC7CC56A3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363879</xdr:colOff>
      <xdr:row>0</xdr:row>
      <xdr:rowOff>0</xdr:rowOff>
    </xdr:from>
    <xdr:to>
      <xdr:col>8</xdr:col>
      <xdr:colOff>418486</xdr:colOff>
      <xdr:row>5</xdr:row>
      <xdr:rowOff>73660</xdr:rowOff>
    </xdr:to>
    <xdr:sp macro="" textlink="">
      <xdr:nvSpPr>
        <xdr:cNvPr id="48" name="Rectangle 47">
          <a:extLst>
            <a:ext uri="{FF2B5EF4-FFF2-40B4-BE49-F238E27FC236}">
              <a16:creationId xmlns:a16="http://schemas.microsoft.com/office/drawing/2014/main" id="{F4EEAB85-EC4A-44FA-A59C-44162013012A}"/>
            </a:ext>
          </a:extLst>
        </xdr:cNvPr>
        <xdr:cNvSpPr/>
      </xdr:nvSpPr>
      <xdr:spPr>
        <a:xfrm>
          <a:off x="975360" y="0"/>
          <a:ext cx="4334978" cy="1089660"/>
        </a:xfrm>
        <a:prstGeom prst="rect">
          <a:avLst/>
        </a:prstGeom>
        <a:noFill/>
      </xdr:spPr>
      <xdr:txBody>
        <a:bodyPr wrap="square" lIns="91440" tIns="45720" rIns="91440" bIns="45720">
          <a:noAutofit/>
        </a:bodyP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Marketing Campain Analysis</a:t>
          </a:r>
        </a:p>
      </xdr:txBody>
    </xdr:sp>
    <xdr:clientData/>
  </xdr:twoCellAnchor>
  <xdr:twoCellAnchor>
    <xdr:from>
      <xdr:col>0</xdr:col>
      <xdr:colOff>28222</xdr:colOff>
      <xdr:row>6</xdr:row>
      <xdr:rowOff>18813</xdr:rowOff>
    </xdr:from>
    <xdr:to>
      <xdr:col>1</xdr:col>
      <xdr:colOff>163501</xdr:colOff>
      <xdr:row>36</xdr:row>
      <xdr:rowOff>28222</xdr:rowOff>
    </xdr:to>
    <xdr:sp macro="" textlink="">
      <xdr:nvSpPr>
        <xdr:cNvPr id="99" name="Rectangle 98">
          <a:hlinkClick xmlns:r="http://schemas.openxmlformats.org/officeDocument/2006/relationships" r:id="rId8"/>
          <a:extLst>
            <a:ext uri="{FF2B5EF4-FFF2-40B4-BE49-F238E27FC236}">
              <a16:creationId xmlns:a16="http://schemas.microsoft.com/office/drawing/2014/main" id="{CD84FAE0-E802-48BE-BB9B-BF5E5B8B6082}"/>
            </a:ext>
          </a:extLst>
        </xdr:cNvPr>
        <xdr:cNvSpPr/>
      </xdr:nvSpPr>
      <xdr:spPr>
        <a:xfrm>
          <a:off x="28222" y="1213554"/>
          <a:ext cx="746760" cy="541866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0</xdr:col>
      <xdr:colOff>94073</xdr:colOff>
      <xdr:row>6</xdr:row>
      <xdr:rowOff>150517</xdr:rowOff>
    </xdr:from>
    <xdr:to>
      <xdr:col>1</xdr:col>
      <xdr:colOff>150519</xdr:colOff>
      <xdr:row>10</xdr:row>
      <xdr:rowOff>103481</xdr:rowOff>
    </xdr:to>
    <xdr:pic>
      <xdr:nvPicPr>
        <xdr:cNvPr id="104" name="Picture 103">
          <a:hlinkClick xmlns:r="http://schemas.openxmlformats.org/officeDocument/2006/relationships" r:id="rId1"/>
          <a:extLst>
            <a:ext uri="{FF2B5EF4-FFF2-40B4-BE49-F238E27FC236}">
              <a16:creationId xmlns:a16="http://schemas.microsoft.com/office/drawing/2014/main" id="{DBAF411F-5778-4258-BF21-EA9C02BE6D6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4073" y="1345258"/>
          <a:ext cx="667927" cy="667927"/>
        </a:xfrm>
        <a:prstGeom prst="rect">
          <a:avLst/>
        </a:prstGeom>
      </xdr:spPr>
    </xdr:pic>
    <xdr:clientData/>
  </xdr:twoCellAnchor>
  <xdr:twoCellAnchor editAs="oneCell">
    <xdr:from>
      <xdr:col>0</xdr:col>
      <xdr:colOff>47036</xdr:colOff>
      <xdr:row>11</xdr:row>
      <xdr:rowOff>122296</xdr:rowOff>
    </xdr:from>
    <xdr:to>
      <xdr:col>1</xdr:col>
      <xdr:colOff>147240</xdr:colOff>
      <xdr:row>15</xdr:row>
      <xdr:rowOff>71981</xdr:rowOff>
    </xdr:to>
    <xdr:pic>
      <xdr:nvPicPr>
        <xdr:cNvPr id="105" name="Picture 104">
          <a:hlinkClick xmlns:r="http://schemas.openxmlformats.org/officeDocument/2006/relationships" r:id="rId10"/>
          <a:extLst>
            <a:ext uri="{FF2B5EF4-FFF2-40B4-BE49-F238E27FC236}">
              <a16:creationId xmlns:a16="http://schemas.microsoft.com/office/drawing/2014/main" id="{BD735449-0D2E-4B28-9EAC-39E95EFF5CD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7036" y="2210740"/>
          <a:ext cx="711685" cy="711685"/>
        </a:xfrm>
        <a:prstGeom prst="rect">
          <a:avLst/>
        </a:prstGeom>
      </xdr:spPr>
    </xdr:pic>
    <xdr:clientData/>
  </xdr:twoCellAnchor>
  <xdr:twoCellAnchor editAs="oneCell">
    <xdr:from>
      <xdr:col>0</xdr:col>
      <xdr:colOff>28221</xdr:colOff>
      <xdr:row>17</xdr:row>
      <xdr:rowOff>112888</xdr:rowOff>
    </xdr:from>
    <xdr:to>
      <xdr:col>1</xdr:col>
      <xdr:colOff>153340</xdr:colOff>
      <xdr:row>21</xdr:row>
      <xdr:rowOff>134525</xdr:rowOff>
    </xdr:to>
    <xdr:pic>
      <xdr:nvPicPr>
        <xdr:cNvPr id="106" name="Picture 105">
          <a:hlinkClick xmlns:r="http://schemas.openxmlformats.org/officeDocument/2006/relationships" r:id="rId12"/>
          <a:extLst>
            <a:ext uri="{FF2B5EF4-FFF2-40B4-BE49-F238E27FC236}">
              <a16:creationId xmlns:a16="http://schemas.microsoft.com/office/drawing/2014/main" id="{DF395A30-71DD-404C-86BA-DD18C660AAA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8221" y="3320814"/>
          <a:ext cx="736600" cy="736600"/>
        </a:xfrm>
        <a:prstGeom prst="rect">
          <a:avLst/>
        </a:prstGeom>
      </xdr:spPr>
    </xdr:pic>
    <xdr:clientData/>
  </xdr:twoCellAnchor>
  <xdr:twoCellAnchor editAs="oneCell">
    <xdr:from>
      <xdr:col>0</xdr:col>
      <xdr:colOff>84668</xdr:colOff>
      <xdr:row>23</xdr:row>
      <xdr:rowOff>159926</xdr:rowOff>
    </xdr:from>
    <xdr:to>
      <xdr:col>1</xdr:col>
      <xdr:colOff>51816</xdr:colOff>
      <xdr:row>27</xdr:row>
      <xdr:rowOff>99311</xdr:rowOff>
    </xdr:to>
    <xdr:pic>
      <xdr:nvPicPr>
        <xdr:cNvPr id="107" name="Picture 106">
          <a:hlinkClick xmlns:r="http://schemas.openxmlformats.org/officeDocument/2006/relationships" r:id="rId8"/>
          <a:extLst>
            <a:ext uri="{FF2B5EF4-FFF2-40B4-BE49-F238E27FC236}">
              <a16:creationId xmlns:a16="http://schemas.microsoft.com/office/drawing/2014/main" id="{7760A760-6F58-4D0D-B27B-56A1DF4FCD2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4668" y="4440296"/>
          <a:ext cx="578629" cy="6543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22860</xdr:colOff>
      <xdr:row>0</xdr:row>
      <xdr:rowOff>60960</xdr:rowOff>
    </xdr:from>
    <xdr:to>
      <xdr:col>2</xdr:col>
      <xdr:colOff>30480</xdr:colOff>
      <xdr:row>6</xdr:row>
      <xdr:rowOff>30480</xdr:rowOff>
    </xdr:to>
    <xdr:pic>
      <xdr:nvPicPr>
        <xdr:cNvPr id="2" name="Picture 1">
          <a:extLst>
            <a:ext uri="{FF2B5EF4-FFF2-40B4-BE49-F238E27FC236}">
              <a16:creationId xmlns:a16="http://schemas.microsoft.com/office/drawing/2014/main" id="{3B1DD2A8-B466-41E1-A5EB-47CDA28017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 y="60960"/>
          <a:ext cx="1226820" cy="1181100"/>
        </a:xfrm>
        <a:prstGeom prst="rect">
          <a:avLst/>
        </a:prstGeom>
      </xdr:spPr>
    </xdr:pic>
    <xdr:clientData/>
  </xdr:twoCellAnchor>
  <xdr:twoCellAnchor editAs="oneCell">
    <xdr:from>
      <xdr:col>24</xdr:col>
      <xdr:colOff>44436</xdr:colOff>
      <xdr:row>0</xdr:row>
      <xdr:rowOff>77142</xdr:rowOff>
    </xdr:from>
    <xdr:to>
      <xdr:col>25</xdr:col>
      <xdr:colOff>568503</xdr:colOff>
      <xdr:row>6</xdr:row>
      <xdr:rowOff>4024</xdr:rowOff>
    </xdr:to>
    <xdr:pic>
      <xdr:nvPicPr>
        <xdr:cNvPr id="3" name="Picture 2">
          <a:extLst>
            <a:ext uri="{FF2B5EF4-FFF2-40B4-BE49-F238E27FC236}">
              <a16:creationId xmlns:a16="http://schemas.microsoft.com/office/drawing/2014/main" id="{BD0AC11A-E49F-422C-B5AF-4F9AEA144A9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674836" y="77142"/>
          <a:ext cx="1133667" cy="1138462"/>
        </a:xfrm>
        <a:prstGeom prst="rect">
          <a:avLst/>
        </a:prstGeom>
      </xdr:spPr>
    </xdr:pic>
    <xdr:clientData/>
  </xdr:twoCellAnchor>
  <xdr:oneCellAnchor>
    <xdr:from>
      <xdr:col>1</xdr:col>
      <xdr:colOff>373380</xdr:colOff>
      <xdr:row>0</xdr:row>
      <xdr:rowOff>30480</xdr:rowOff>
    </xdr:from>
    <xdr:ext cx="3459480" cy="1089660"/>
    <xdr:sp macro="" textlink="">
      <xdr:nvSpPr>
        <xdr:cNvPr id="4" name="Rectangle 3">
          <a:extLst>
            <a:ext uri="{FF2B5EF4-FFF2-40B4-BE49-F238E27FC236}">
              <a16:creationId xmlns:a16="http://schemas.microsoft.com/office/drawing/2014/main" id="{95497846-6B9C-497F-8DAF-66A166FCF23F}"/>
            </a:ext>
          </a:extLst>
        </xdr:cNvPr>
        <xdr:cNvSpPr/>
      </xdr:nvSpPr>
      <xdr:spPr>
        <a:xfrm>
          <a:off x="982980" y="30480"/>
          <a:ext cx="3459480" cy="1089660"/>
        </a:xfrm>
        <a:prstGeom prst="rect">
          <a:avLst/>
        </a:prstGeom>
        <a:noFill/>
      </xdr:spPr>
      <xdr:txBody>
        <a:bodyPr wrap="square" lIns="91440" tIns="45720" rIns="91440" bIns="45720">
          <a:noAutofit/>
        </a:bodyP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Marketing Campain Analysis</a:t>
          </a:r>
        </a:p>
      </xdr:txBody>
    </xdr:sp>
    <xdr:clientData/>
  </xdr:oneCellAnchor>
  <xdr:oneCellAnchor>
    <xdr:from>
      <xdr:col>11</xdr:col>
      <xdr:colOff>288635</xdr:colOff>
      <xdr:row>11</xdr:row>
      <xdr:rowOff>30295</xdr:rowOff>
    </xdr:from>
    <xdr:ext cx="184730" cy="937629"/>
    <xdr:sp macro="" textlink="">
      <xdr:nvSpPr>
        <xdr:cNvPr id="5" name="Rectangle 4">
          <a:extLst>
            <a:ext uri="{FF2B5EF4-FFF2-40B4-BE49-F238E27FC236}">
              <a16:creationId xmlns:a16="http://schemas.microsoft.com/office/drawing/2014/main" id="{26A718F8-87E0-4248-8076-80BF261CEE26}"/>
            </a:ext>
          </a:extLst>
        </xdr:cNvPr>
        <xdr:cNvSpPr/>
      </xdr:nvSpPr>
      <xdr:spPr>
        <a:xfrm>
          <a:off x="6994235" y="2156275"/>
          <a:ext cx="184730" cy="937629"/>
        </a:xfrm>
        <a:prstGeom prst="rect">
          <a:avLst/>
        </a:prstGeom>
        <a:noFill/>
      </xdr:spPr>
      <xdr:txBody>
        <a:bodyPr wrap="none" lIns="91440" tIns="45720" rIns="91440" bIns="45720">
          <a:spAutoFit/>
        </a:bodyPr>
        <a:lstStyle/>
        <a:p>
          <a:pPr algn="ctr"/>
          <a:endPar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twoCellAnchor>
    <xdr:from>
      <xdr:col>8</xdr:col>
      <xdr:colOff>495300</xdr:colOff>
      <xdr:row>0</xdr:row>
      <xdr:rowOff>152400</xdr:rowOff>
    </xdr:from>
    <xdr:to>
      <xdr:col>23</xdr:col>
      <xdr:colOff>313317</xdr:colOff>
      <xdr:row>5</xdr:row>
      <xdr:rowOff>155448</xdr:rowOff>
    </xdr:to>
    <xdr:grpSp>
      <xdr:nvGrpSpPr>
        <xdr:cNvPr id="6" name="Group 5">
          <a:extLst>
            <a:ext uri="{FF2B5EF4-FFF2-40B4-BE49-F238E27FC236}">
              <a16:creationId xmlns:a16="http://schemas.microsoft.com/office/drawing/2014/main" id="{AAB2255C-C6B7-4866-B9BA-1EFF8C263A7C}"/>
            </a:ext>
          </a:extLst>
        </xdr:cNvPr>
        <xdr:cNvGrpSpPr/>
      </xdr:nvGrpSpPr>
      <xdr:grpSpPr>
        <a:xfrm>
          <a:off x="5333395" y="152400"/>
          <a:ext cx="8889446" cy="1031143"/>
          <a:chOff x="5288280" y="152400"/>
          <a:chExt cx="8984573" cy="1031748"/>
        </a:xfrm>
      </xdr:grpSpPr>
      <xdr:grpSp>
        <xdr:nvGrpSpPr>
          <xdr:cNvPr id="7" name="Group 6">
            <a:extLst>
              <a:ext uri="{FF2B5EF4-FFF2-40B4-BE49-F238E27FC236}">
                <a16:creationId xmlns:a16="http://schemas.microsoft.com/office/drawing/2014/main" id="{2DCC4973-8482-29F6-636F-F5BEFEED8AEC}"/>
              </a:ext>
            </a:extLst>
          </xdr:cNvPr>
          <xdr:cNvGrpSpPr/>
        </xdr:nvGrpSpPr>
        <xdr:grpSpPr>
          <a:xfrm>
            <a:off x="5288280" y="198120"/>
            <a:ext cx="1424940" cy="967740"/>
            <a:chOff x="4884420" y="137160"/>
            <a:chExt cx="1577340" cy="853440"/>
          </a:xfrm>
        </xdr:grpSpPr>
        <xdr:sp macro="" textlink="">
          <xdr:nvSpPr>
            <xdr:cNvPr id="23" name="Rectangle: Rounded Corners 22">
              <a:extLst>
                <a:ext uri="{FF2B5EF4-FFF2-40B4-BE49-F238E27FC236}">
                  <a16:creationId xmlns:a16="http://schemas.microsoft.com/office/drawing/2014/main" id="{07A1845A-8002-B375-DA05-0C0E4788AC3A}"/>
                </a:ext>
              </a:extLst>
            </xdr:cNvPr>
            <xdr:cNvSpPr/>
          </xdr:nvSpPr>
          <xdr:spPr>
            <a:xfrm>
              <a:off x="4884420" y="137160"/>
              <a:ext cx="1577340" cy="853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F4">
          <xdr:nvSpPr>
            <xdr:cNvPr id="24" name="TextBox 23">
              <a:extLst>
                <a:ext uri="{FF2B5EF4-FFF2-40B4-BE49-F238E27FC236}">
                  <a16:creationId xmlns:a16="http://schemas.microsoft.com/office/drawing/2014/main" id="{262F2C65-EEB5-D806-CB67-0CB8FE42C118}"/>
                </a:ext>
              </a:extLst>
            </xdr:cNvPr>
            <xdr:cNvSpPr txBox="1"/>
          </xdr:nvSpPr>
          <xdr:spPr>
            <a:xfrm>
              <a:off x="5234940" y="437956"/>
              <a:ext cx="1059180" cy="458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9DC89D-D3B0-471E-8320-91310175D769}" type="TxLink">
                <a:rPr lang="en-US" sz="2800" b="0" i="0" u="none" strike="noStrike" kern="1200">
                  <a:solidFill>
                    <a:srgbClr val="000000"/>
                  </a:solidFill>
                  <a:latin typeface="Calibri"/>
                  <a:ea typeface="Calibri"/>
                  <a:cs typeface="Calibri"/>
                </a:rPr>
                <a:pPr/>
                <a:t>70 M</a:t>
              </a:fld>
              <a:endParaRPr lang="en-US" sz="2800" kern="1200"/>
            </a:p>
          </xdr:txBody>
        </xdr:sp>
      </xdr:grpSp>
      <xdr:grpSp>
        <xdr:nvGrpSpPr>
          <xdr:cNvPr id="8" name="Group 7">
            <a:extLst>
              <a:ext uri="{FF2B5EF4-FFF2-40B4-BE49-F238E27FC236}">
                <a16:creationId xmlns:a16="http://schemas.microsoft.com/office/drawing/2014/main" id="{DEB0A79D-1AD9-4B9E-9314-F28231E78A3C}"/>
              </a:ext>
            </a:extLst>
          </xdr:cNvPr>
          <xdr:cNvGrpSpPr/>
        </xdr:nvGrpSpPr>
        <xdr:grpSpPr>
          <a:xfrm>
            <a:off x="6804660" y="207264"/>
            <a:ext cx="1440180" cy="967740"/>
            <a:chOff x="4884420" y="137160"/>
            <a:chExt cx="1577340" cy="853440"/>
          </a:xfrm>
        </xdr:grpSpPr>
        <xdr:sp macro="" textlink="">
          <xdr:nvSpPr>
            <xdr:cNvPr id="21" name="Rectangle: Rounded Corners 20">
              <a:extLst>
                <a:ext uri="{FF2B5EF4-FFF2-40B4-BE49-F238E27FC236}">
                  <a16:creationId xmlns:a16="http://schemas.microsoft.com/office/drawing/2014/main" id="{63557690-4AC1-1096-45C1-D445A620F3CA}"/>
                </a:ext>
              </a:extLst>
            </xdr:cNvPr>
            <xdr:cNvSpPr/>
          </xdr:nvSpPr>
          <xdr:spPr>
            <a:xfrm>
              <a:off x="4884420" y="137160"/>
              <a:ext cx="1577340" cy="853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E10">
          <xdr:nvSpPr>
            <xdr:cNvPr id="22" name="TextBox 21">
              <a:extLst>
                <a:ext uri="{FF2B5EF4-FFF2-40B4-BE49-F238E27FC236}">
                  <a16:creationId xmlns:a16="http://schemas.microsoft.com/office/drawing/2014/main" id="{82990A5E-498D-6C1C-A44E-F1C8F3B20FCF}"/>
                </a:ext>
              </a:extLst>
            </xdr:cNvPr>
            <xdr:cNvSpPr txBox="1"/>
          </xdr:nvSpPr>
          <xdr:spPr>
            <a:xfrm>
              <a:off x="5059680" y="508929"/>
              <a:ext cx="1242060" cy="412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576DEB-4A35-498E-BE35-8AD4A8E6EC80}" type="TxLink">
                <a:rPr lang="en-US" sz="2000" b="1" i="0" u="none" strike="noStrike" kern="1200">
                  <a:solidFill>
                    <a:srgbClr val="000000"/>
                  </a:solidFill>
                  <a:latin typeface="Calibri"/>
                  <a:ea typeface="Calibri"/>
                  <a:cs typeface="Calibri"/>
                </a:rPr>
                <a:pPr/>
                <a:t>75,600K</a:t>
              </a:fld>
              <a:endParaRPr lang="en-US" sz="2000" b="1" kern="1200"/>
            </a:p>
          </xdr:txBody>
        </xdr:sp>
      </xdr:grpSp>
      <xdr:grpSp>
        <xdr:nvGrpSpPr>
          <xdr:cNvPr id="9" name="Group 8">
            <a:extLst>
              <a:ext uri="{FF2B5EF4-FFF2-40B4-BE49-F238E27FC236}">
                <a16:creationId xmlns:a16="http://schemas.microsoft.com/office/drawing/2014/main" id="{90E2B521-0842-F5EC-A1FC-997AE9256886}"/>
              </a:ext>
            </a:extLst>
          </xdr:cNvPr>
          <xdr:cNvGrpSpPr/>
        </xdr:nvGrpSpPr>
        <xdr:grpSpPr>
          <a:xfrm>
            <a:off x="12980929" y="152400"/>
            <a:ext cx="1291924" cy="989075"/>
            <a:chOff x="4913915" y="144978"/>
            <a:chExt cx="1414965" cy="845622"/>
          </a:xfrm>
        </xdr:grpSpPr>
        <xdr:sp macro="" textlink="">
          <xdr:nvSpPr>
            <xdr:cNvPr id="19" name="Rectangle: Rounded Corners 18">
              <a:extLst>
                <a:ext uri="{FF2B5EF4-FFF2-40B4-BE49-F238E27FC236}">
                  <a16:creationId xmlns:a16="http://schemas.microsoft.com/office/drawing/2014/main" id="{5DDB13B9-0ED9-8DA4-EB83-EA024C7F2FE3}"/>
                </a:ext>
              </a:extLst>
            </xdr:cNvPr>
            <xdr:cNvSpPr/>
          </xdr:nvSpPr>
          <xdr:spPr>
            <a:xfrm>
              <a:off x="4913915" y="144978"/>
              <a:ext cx="1380512" cy="84562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E7">
          <xdr:nvSpPr>
            <xdr:cNvPr id="20" name="TextBox 19">
              <a:extLst>
                <a:ext uri="{FF2B5EF4-FFF2-40B4-BE49-F238E27FC236}">
                  <a16:creationId xmlns:a16="http://schemas.microsoft.com/office/drawing/2014/main" id="{136880BE-D475-3934-6252-50DDFA8F473A}"/>
                </a:ext>
              </a:extLst>
            </xdr:cNvPr>
            <xdr:cNvSpPr txBox="1"/>
          </xdr:nvSpPr>
          <xdr:spPr>
            <a:xfrm>
              <a:off x="5319049" y="556492"/>
              <a:ext cx="1009831"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6D4205-DCF3-4CE2-B98D-E3CD32051AAA}" type="TxLink">
                <a:rPr lang="en-US" sz="1800" b="1" i="0" u="none" strike="noStrike" kern="1200">
                  <a:solidFill>
                    <a:srgbClr val="000000"/>
                  </a:solidFill>
                  <a:latin typeface="Calibri"/>
                  <a:ea typeface="Calibri"/>
                  <a:cs typeface="Calibri"/>
                </a:rPr>
                <a:pPr/>
                <a:t>8 M</a:t>
              </a:fld>
              <a:endParaRPr lang="en-US" sz="1800" b="1" kern="1200"/>
            </a:p>
          </xdr:txBody>
        </xdr:sp>
      </xdr:grpSp>
      <xdr:grpSp>
        <xdr:nvGrpSpPr>
          <xdr:cNvPr id="10" name="Group 9">
            <a:extLst>
              <a:ext uri="{FF2B5EF4-FFF2-40B4-BE49-F238E27FC236}">
                <a16:creationId xmlns:a16="http://schemas.microsoft.com/office/drawing/2014/main" id="{6E628AD8-D348-F620-7BDA-ABFFABAA2587}"/>
              </a:ext>
            </a:extLst>
          </xdr:cNvPr>
          <xdr:cNvGrpSpPr/>
        </xdr:nvGrpSpPr>
        <xdr:grpSpPr>
          <a:xfrm>
            <a:off x="8336280" y="216408"/>
            <a:ext cx="1325880" cy="967740"/>
            <a:chOff x="4884420" y="137160"/>
            <a:chExt cx="1577340" cy="853440"/>
          </a:xfrm>
        </xdr:grpSpPr>
        <xdr:sp macro="" textlink="">
          <xdr:nvSpPr>
            <xdr:cNvPr id="17" name="Rectangle: Rounded Corners 16">
              <a:extLst>
                <a:ext uri="{FF2B5EF4-FFF2-40B4-BE49-F238E27FC236}">
                  <a16:creationId xmlns:a16="http://schemas.microsoft.com/office/drawing/2014/main" id="{CF2A7361-85BC-6758-E6B2-3673B9528A93}"/>
                </a:ext>
              </a:extLst>
            </xdr:cNvPr>
            <xdr:cNvSpPr/>
          </xdr:nvSpPr>
          <xdr:spPr>
            <a:xfrm>
              <a:off x="4884420" y="137160"/>
              <a:ext cx="1577340" cy="853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F7">
          <xdr:nvSpPr>
            <xdr:cNvPr id="18" name="TextBox 17">
              <a:extLst>
                <a:ext uri="{FF2B5EF4-FFF2-40B4-BE49-F238E27FC236}">
                  <a16:creationId xmlns:a16="http://schemas.microsoft.com/office/drawing/2014/main" id="{1914A814-2C40-ABAE-4DC5-A101265F8996}"/>
                </a:ext>
              </a:extLst>
            </xdr:cNvPr>
            <xdr:cNvSpPr txBox="1"/>
          </xdr:nvSpPr>
          <xdr:spPr>
            <a:xfrm>
              <a:off x="5258886" y="587220"/>
              <a:ext cx="934243"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545C7D-2E70-47D5-83F2-D8EF2A4AF4B4}" type="TxLink">
                <a:rPr lang="en-US" sz="1800" b="1" i="0" u="none" strike="noStrike" kern="1200">
                  <a:solidFill>
                    <a:srgbClr val="000000"/>
                  </a:solidFill>
                  <a:latin typeface="Calibri"/>
                  <a:ea typeface="Calibri"/>
                  <a:cs typeface="Calibri"/>
                </a:rPr>
                <a:pPr/>
                <a:t>11.40</a:t>
              </a:fld>
              <a:endParaRPr lang="en-US" sz="1800" b="1" kern="1200"/>
            </a:p>
          </xdr:txBody>
        </xdr:sp>
      </xdr:grpSp>
      <xdr:grpSp>
        <xdr:nvGrpSpPr>
          <xdr:cNvPr id="11" name="Group 10">
            <a:extLst>
              <a:ext uri="{FF2B5EF4-FFF2-40B4-BE49-F238E27FC236}">
                <a16:creationId xmlns:a16="http://schemas.microsoft.com/office/drawing/2014/main" id="{AEC46EF8-BBA0-066A-B698-499F8B78EB9F}"/>
              </a:ext>
            </a:extLst>
          </xdr:cNvPr>
          <xdr:cNvGrpSpPr/>
        </xdr:nvGrpSpPr>
        <xdr:grpSpPr>
          <a:xfrm>
            <a:off x="9757199" y="164592"/>
            <a:ext cx="1535641" cy="1008888"/>
            <a:chOff x="4918588" y="205740"/>
            <a:chExt cx="1573652" cy="837003"/>
          </a:xfrm>
        </xdr:grpSpPr>
        <xdr:sp macro="" textlink="">
          <xdr:nvSpPr>
            <xdr:cNvPr id="15" name="Rectangle: Rounded Corners 14">
              <a:extLst>
                <a:ext uri="{FF2B5EF4-FFF2-40B4-BE49-F238E27FC236}">
                  <a16:creationId xmlns:a16="http://schemas.microsoft.com/office/drawing/2014/main" id="{35849747-030D-2B93-A4CF-15A1DF1DAB55}"/>
                </a:ext>
              </a:extLst>
            </xdr:cNvPr>
            <xdr:cNvSpPr/>
          </xdr:nvSpPr>
          <xdr:spPr>
            <a:xfrm>
              <a:off x="4918588" y="205740"/>
              <a:ext cx="1573652" cy="83700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E13">
          <xdr:nvSpPr>
            <xdr:cNvPr id="16" name="TextBox 15">
              <a:extLst>
                <a:ext uri="{FF2B5EF4-FFF2-40B4-BE49-F238E27FC236}">
                  <a16:creationId xmlns:a16="http://schemas.microsoft.com/office/drawing/2014/main" id="{AA596FA3-C214-CD9E-906D-A76F2D42C37D}"/>
                </a:ext>
              </a:extLst>
            </xdr:cNvPr>
            <xdr:cNvSpPr txBox="1"/>
          </xdr:nvSpPr>
          <xdr:spPr>
            <a:xfrm>
              <a:off x="5346469" y="634670"/>
              <a:ext cx="801624" cy="333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29D9A0-E931-4F3E-8705-8AE39E050A98}" type="TxLink">
                <a:rPr lang="en-US" sz="1800" b="1" i="0" u="none" strike="noStrike" kern="1200">
                  <a:solidFill>
                    <a:srgbClr val="000000"/>
                  </a:solidFill>
                  <a:latin typeface="Calibri"/>
                  <a:ea typeface="Calibri"/>
                  <a:cs typeface="Calibri"/>
                </a:rPr>
                <a:pPr/>
                <a:t>7.56</a:t>
              </a:fld>
              <a:endParaRPr lang="en-US" sz="1800" b="1" kern="1200"/>
            </a:p>
          </xdr:txBody>
        </xdr:sp>
      </xdr:grpSp>
      <xdr:grpSp>
        <xdr:nvGrpSpPr>
          <xdr:cNvPr id="12" name="Group 11">
            <a:extLst>
              <a:ext uri="{FF2B5EF4-FFF2-40B4-BE49-F238E27FC236}">
                <a16:creationId xmlns:a16="http://schemas.microsoft.com/office/drawing/2014/main" id="{80F54917-B226-BBC6-C94F-A17DF6B1365E}"/>
              </a:ext>
            </a:extLst>
          </xdr:cNvPr>
          <xdr:cNvGrpSpPr/>
        </xdr:nvGrpSpPr>
        <xdr:grpSpPr>
          <a:xfrm>
            <a:off x="11399558" y="152400"/>
            <a:ext cx="1478280" cy="1021080"/>
            <a:chOff x="4900722" y="181743"/>
            <a:chExt cx="1577340" cy="853440"/>
          </a:xfrm>
        </xdr:grpSpPr>
        <xdr:sp macro="" textlink="">
          <xdr:nvSpPr>
            <xdr:cNvPr id="13" name="Rectangle: Rounded Corners 12">
              <a:extLst>
                <a:ext uri="{FF2B5EF4-FFF2-40B4-BE49-F238E27FC236}">
                  <a16:creationId xmlns:a16="http://schemas.microsoft.com/office/drawing/2014/main" id="{EE3D084F-825C-DAF8-5377-6B291AB49701}"/>
                </a:ext>
              </a:extLst>
            </xdr:cNvPr>
            <xdr:cNvSpPr/>
          </xdr:nvSpPr>
          <xdr:spPr>
            <a:xfrm>
              <a:off x="4900722" y="181743"/>
              <a:ext cx="1577340" cy="853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G4">
          <xdr:nvSpPr>
            <xdr:cNvPr id="14" name="TextBox 13">
              <a:extLst>
                <a:ext uri="{FF2B5EF4-FFF2-40B4-BE49-F238E27FC236}">
                  <a16:creationId xmlns:a16="http://schemas.microsoft.com/office/drawing/2014/main" id="{CE94574D-905A-ACD2-F3B3-CA6B45E2AD02}"/>
                </a:ext>
              </a:extLst>
            </xdr:cNvPr>
            <xdr:cNvSpPr txBox="1"/>
          </xdr:nvSpPr>
          <xdr:spPr>
            <a:xfrm>
              <a:off x="5353899" y="647700"/>
              <a:ext cx="895369"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CA20F6-C7D7-4619-821B-188A711E9E41}" type="TxLink">
                <a:rPr lang="en-US" sz="1800" b="1" i="0" u="none" strike="noStrike" kern="1200">
                  <a:solidFill>
                    <a:sysClr val="windowText" lastClr="000000"/>
                  </a:solidFill>
                  <a:latin typeface="Calibri"/>
                  <a:ea typeface="Calibri"/>
                  <a:cs typeface="Calibri"/>
                </a:rPr>
                <a:pPr/>
                <a:t>3.27</a:t>
              </a:fld>
              <a:endParaRPr lang="en-US" sz="1800" b="1" kern="1200">
                <a:solidFill>
                  <a:sysClr val="windowText" lastClr="000000"/>
                </a:solidFill>
              </a:endParaRPr>
            </a:p>
          </xdr:txBody>
        </xdr:sp>
      </xdr:grpSp>
    </xdr:grpSp>
    <xdr:clientData/>
  </xdr:twoCellAnchor>
  <xdr:oneCellAnchor>
    <xdr:from>
      <xdr:col>12</xdr:col>
      <xdr:colOff>335280</xdr:colOff>
      <xdr:row>2</xdr:row>
      <xdr:rowOff>99060</xdr:rowOff>
    </xdr:from>
    <xdr:ext cx="184731" cy="264560"/>
    <xdr:sp macro="" textlink="">
      <xdr:nvSpPr>
        <xdr:cNvPr id="25" name="TextBox 24">
          <a:extLst>
            <a:ext uri="{FF2B5EF4-FFF2-40B4-BE49-F238E27FC236}">
              <a16:creationId xmlns:a16="http://schemas.microsoft.com/office/drawing/2014/main" id="{5993C73E-44DF-4152-8DAB-FDFF9C817A68}"/>
            </a:ext>
          </a:extLst>
        </xdr:cNvPr>
        <xdr:cNvSpPr txBox="1"/>
      </xdr:nvSpPr>
      <xdr:spPr>
        <a:xfrm>
          <a:off x="7650480" y="57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kern="1200"/>
        </a:p>
      </xdr:txBody>
    </xdr:sp>
    <xdr:clientData/>
  </xdr:oneCellAnchor>
  <xdr:twoCellAnchor>
    <xdr:from>
      <xdr:col>1</xdr:col>
      <xdr:colOff>175260</xdr:colOff>
      <xdr:row>6</xdr:row>
      <xdr:rowOff>22859</xdr:rowOff>
    </xdr:from>
    <xdr:to>
      <xdr:col>4</xdr:col>
      <xdr:colOff>121920</xdr:colOff>
      <xdr:row>33</xdr:row>
      <xdr:rowOff>48227</xdr:rowOff>
    </xdr:to>
    <xdr:sp macro="" textlink="">
      <xdr:nvSpPr>
        <xdr:cNvPr id="29" name="Rectangle 28">
          <a:extLst>
            <a:ext uri="{FF2B5EF4-FFF2-40B4-BE49-F238E27FC236}">
              <a16:creationId xmlns:a16="http://schemas.microsoft.com/office/drawing/2014/main" id="{45B19679-B291-95FC-B30C-0010BCD1E83E}"/>
            </a:ext>
          </a:extLst>
        </xdr:cNvPr>
        <xdr:cNvSpPr/>
      </xdr:nvSpPr>
      <xdr:spPr>
        <a:xfrm>
          <a:off x="782931" y="1238201"/>
          <a:ext cx="1769673" cy="502177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xdr:col>
      <xdr:colOff>200945</xdr:colOff>
      <xdr:row>6</xdr:row>
      <xdr:rowOff>77055</xdr:rowOff>
    </xdr:from>
    <xdr:to>
      <xdr:col>4</xdr:col>
      <xdr:colOff>77055</xdr:colOff>
      <xdr:row>13</xdr:row>
      <xdr:rowOff>154111</xdr:rowOff>
    </xdr:to>
    <mc:AlternateContent xmlns:mc="http://schemas.openxmlformats.org/markup-compatibility/2006" xmlns:a14="http://schemas.microsoft.com/office/drawing/2010/main">
      <mc:Choice Requires="a14">
        <xdr:graphicFrame macro="">
          <xdr:nvGraphicFramePr>
            <xdr:cNvPr id="33" name="Age_group 2">
              <a:extLst>
                <a:ext uri="{FF2B5EF4-FFF2-40B4-BE49-F238E27FC236}">
                  <a16:creationId xmlns:a16="http://schemas.microsoft.com/office/drawing/2014/main" id="{0D8714AC-FA29-48B9-89F7-8302BB24D7CF}"/>
                </a:ext>
              </a:extLst>
            </xdr:cNvPr>
            <xdr:cNvGraphicFramePr/>
          </xdr:nvGraphicFramePr>
          <xdr:xfrm>
            <a:off x="0" y="0"/>
            <a:ext cx="0" cy="0"/>
          </xdr:xfrm>
          <a:graphic>
            <a:graphicData uri="http://schemas.microsoft.com/office/drawing/2010/slicer">
              <sle:slicer xmlns:sle="http://schemas.microsoft.com/office/drawing/2010/slicer" name="Age_group 2"/>
            </a:graphicData>
          </a:graphic>
        </xdr:graphicFrame>
      </mc:Choice>
      <mc:Fallback xmlns="">
        <xdr:sp macro="" textlink="">
          <xdr:nvSpPr>
            <xdr:cNvPr id="0" name=""/>
            <xdr:cNvSpPr>
              <a:spLocks noTextEdit="1"/>
            </xdr:cNvSpPr>
          </xdr:nvSpPr>
          <xdr:spPr>
            <a:xfrm>
              <a:off x="808616" y="1292397"/>
              <a:ext cx="1699123" cy="1408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147717</xdr:colOff>
      <xdr:row>19</xdr:row>
      <xdr:rowOff>106101</xdr:rowOff>
    </xdr:from>
    <xdr:to>
      <xdr:col>14</xdr:col>
      <xdr:colOff>559443</xdr:colOff>
      <xdr:row>33</xdr:row>
      <xdr:rowOff>48116</xdr:rowOff>
    </xdr:to>
    <xdr:graphicFrame macro="">
      <xdr:nvGraphicFramePr>
        <xdr:cNvPr id="34" name="Chart 33">
          <a:extLst>
            <a:ext uri="{FF2B5EF4-FFF2-40B4-BE49-F238E27FC236}">
              <a16:creationId xmlns:a16="http://schemas.microsoft.com/office/drawing/2014/main" id="{4E579D29-DB4E-4EFB-8979-D5CA6D94C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214045</xdr:colOff>
      <xdr:row>17</xdr:row>
      <xdr:rowOff>59932</xdr:rowOff>
    </xdr:from>
    <xdr:to>
      <xdr:col>4</xdr:col>
      <xdr:colOff>49857</xdr:colOff>
      <xdr:row>27</xdr:row>
      <xdr:rowOff>170255</xdr:rowOff>
    </xdr:to>
    <mc:AlternateContent xmlns:mc="http://schemas.openxmlformats.org/markup-compatibility/2006" xmlns:a14="http://schemas.microsoft.com/office/drawing/2010/main">
      <mc:Choice Requires="a14">
        <xdr:graphicFrame macro="">
          <xdr:nvGraphicFramePr>
            <xdr:cNvPr id="35" name="Campaign_Type 6">
              <a:extLst>
                <a:ext uri="{FF2B5EF4-FFF2-40B4-BE49-F238E27FC236}">
                  <a16:creationId xmlns:a16="http://schemas.microsoft.com/office/drawing/2014/main" id="{BD4E64C8-2B73-4DBA-8BAC-0AB6E0C15F76}"/>
                </a:ext>
              </a:extLst>
            </xdr:cNvPr>
            <xdr:cNvGraphicFramePr/>
          </xdr:nvGraphicFramePr>
          <xdr:xfrm>
            <a:off x="0" y="0"/>
            <a:ext cx="0" cy="0"/>
          </xdr:xfrm>
          <a:graphic>
            <a:graphicData uri="http://schemas.microsoft.com/office/drawing/2010/slicer">
              <sle:slicer xmlns:sle="http://schemas.microsoft.com/office/drawing/2010/slicer" name="Campaign_Type 6"/>
            </a:graphicData>
          </a:graphic>
        </xdr:graphicFrame>
      </mc:Choice>
      <mc:Fallback xmlns="">
        <xdr:sp macro="" textlink="">
          <xdr:nvSpPr>
            <xdr:cNvPr id="0" name=""/>
            <xdr:cNvSpPr>
              <a:spLocks noTextEdit="1"/>
            </xdr:cNvSpPr>
          </xdr:nvSpPr>
          <xdr:spPr>
            <a:xfrm>
              <a:off x="821716" y="3339426"/>
              <a:ext cx="1658825" cy="1942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61771</xdr:colOff>
      <xdr:row>6</xdr:row>
      <xdr:rowOff>26769</xdr:rowOff>
    </xdr:from>
    <xdr:to>
      <xdr:col>23</xdr:col>
      <xdr:colOff>540151</xdr:colOff>
      <xdr:row>19</xdr:row>
      <xdr:rowOff>38583</xdr:rowOff>
    </xdr:to>
    <xdr:graphicFrame macro="">
      <xdr:nvGraphicFramePr>
        <xdr:cNvPr id="36" name="Chart 35">
          <a:extLst>
            <a:ext uri="{FF2B5EF4-FFF2-40B4-BE49-F238E27FC236}">
              <a16:creationId xmlns:a16="http://schemas.microsoft.com/office/drawing/2014/main" id="{0D07F851-F63A-45E7-99E6-4254F207F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173620</xdr:colOff>
      <xdr:row>6</xdr:row>
      <xdr:rowOff>19289</xdr:rowOff>
    </xdr:from>
    <xdr:to>
      <xdr:col>14</xdr:col>
      <xdr:colOff>549798</xdr:colOff>
      <xdr:row>18</xdr:row>
      <xdr:rowOff>183265</xdr:rowOff>
    </xdr:to>
    <xdr:graphicFrame macro="">
      <xdr:nvGraphicFramePr>
        <xdr:cNvPr id="37" name="Chart 36">
          <a:extLst>
            <a:ext uri="{FF2B5EF4-FFF2-40B4-BE49-F238E27FC236}">
              <a16:creationId xmlns:a16="http://schemas.microsoft.com/office/drawing/2014/main" id="{09C3A107-785F-4917-B59A-E52268D2D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19291</xdr:colOff>
      <xdr:row>19</xdr:row>
      <xdr:rowOff>77166</xdr:rowOff>
    </xdr:from>
    <xdr:to>
      <xdr:col>23</xdr:col>
      <xdr:colOff>559443</xdr:colOff>
      <xdr:row>33</xdr:row>
      <xdr:rowOff>48228</xdr:rowOff>
    </xdr:to>
    <xdr:graphicFrame macro="">
      <xdr:nvGraphicFramePr>
        <xdr:cNvPr id="38" name="Chart 37">
          <a:extLst>
            <a:ext uri="{FF2B5EF4-FFF2-40B4-BE49-F238E27FC236}">
              <a16:creationId xmlns:a16="http://schemas.microsoft.com/office/drawing/2014/main" id="{B9666E32-2958-40E4-8741-9C6E836E3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9646</xdr:colOff>
      <xdr:row>6</xdr:row>
      <xdr:rowOff>9645</xdr:rowOff>
    </xdr:from>
    <xdr:to>
      <xdr:col>1</xdr:col>
      <xdr:colOff>148735</xdr:colOff>
      <xdr:row>33</xdr:row>
      <xdr:rowOff>48381</xdr:rowOff>
    </xdr:to>
    <xdr:sp macro="" textlink="">
      <xdr:nvSpPr>
        <xdr:cNvPr id="26" name="Rectangle 25">
          <a:extLst>
            <a:ext uri="{FF2B5EF4-FFF2-40B4-BE49-F238E27FC236}">
              <a16:creationId xmlns:a16="http://schemas.microsoft.com/office/drawing/2014/main" id="{A3BEB3D1-7332-4693-BD2D-86776B5492DF}"/>
            </a:ext>
          </a:extLst>
        </xdr:cNvPr>
        <xdr:cNvSpPr/>
      </xdr:nvSpPr>
      <xdr:spPr>
        <a:xfrm>
          <a:off x="9646" y="1219169"/>
          <a:ext cx="743851" cy="498568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0</xdr:col>
      <xdr:colOff>48228</xdr:colOff>
      <xdr:row>24</xdr:row>
      <xdr:rowOff>19292</xdr:rowOff>
    </xdr:from>
    <xdr:to>
      <xdr:col>1</xdr:col>
      <xdr:colOff>19186</xdr:colOff>
      <xdr:row>27</xdr:row>
      <xdr:rowOff>123842</xdr:rowOff>
    </xdr:to>
    <xdr:pic>
      <xdr:nvPicPr>
        <xdr:cNvPr id="30" name="Picture 29">
          <a:hlinkClick xmlns:r="http://schemas.openxmlformats.org/officeDocument/2006/relationships" r:id="rId7"/>
          <a:extLst>
            <a:ext uri="{FF2B5EF4-FFF2-40B4-BE49-F238E27FC236}">
              <a16:creationId xmlns:a16="http://schemas.microsoft.com/office/drawing/2014/main" id="{69A60349-AE03-4536-93A0-E85FB9ABDF6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8228" y="4581646"/>
          <a:ext cx="578629" cy="654348"/>
        </a:xfrm>
        <a:prstGeom prst="rect">
          <a:avLst/>
        </a:prstGeom>
      </xdr:spPr>
    </xdr:pic>
    <xdr:clientData/>
  </xdr:twoCellAnchor>
  <xdr:twoCellAnchor editAs="oneCell">
    <xdr:from>
      <xdr:col>0</xdr:col>
      <xdr:colOff>0</xdr:colOff>
      <xdr:row>11</xdr:row>
      <xdr:rowOff>57873</xdr:rowOff>
    </xdr:from>
    <xdr:to>
      <xdr:col>1</xdr:col>
      <xdr:colOff>104014</xdr:colOff>
      <xdr:row>14</xdr:row>
      <xdr:rowOff>171533</xdr:rowOff>
    </xdr:to>
    <xdr:pic>
      <xdr:nvPicPr>
        <xdr:cNvPr id="31" name="Picture 30">
          <a:hlinkClick xmlns:r="http://schemas.openxmlformats.org/officeDocument/2006/relationships" r:id="rId9"/>
          <a:extLst>
            <a:ext uri="{FF2B5EF4-FFF2-40B4-BE49-F238E27FC236}">
              <a16:creationId xmlns:a16="http://schemas.microsoft.com/office/drawing/2014/main" id="{33001D54-7BAF-4ECD-8F2A-D9AC4E5BDBB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2189544"/>
          <a:ext cx="711685" cy="711685"/>
        </a:xfrm>
        <a:prstGeom prst="rect">
          <a:avLst/>
        </a:prstGeom>
      </xdr:spPr>
    </xdr:pic>
    <xdr:clientData/>
  </xdr:twoCellAnchor>
  <xdr:twoCellAnchor editAs="oneCell">
    <xdr:from>
      <xdr:col>0</xdr:col>
      <xdr:colOff>67519</xdr:colOff>
      <xdr:row>6</xdr:row>
      <xdr:rowOff>125392</xdr:rowOff>
    </xdr:from>
    <xdr:to>
      <xdr:col>1</xdr:col>
      <xdr:colOff>127775</xdr:colOff>
      <xdr:row>10</xdr:row>
      <xdr:rowOff>60256</xdr:rowOff>
    </xdr:to>
    <xdr:pic>
      <xdr:nvPicPr>
        <xdr:cNvPr id="32" name="Picture 31">
          <a:hlinkClick xmlns:r="http://schemas.openxmlformats.org/officeDocument/2006/relationships" r:id="rId11"/>
          <a:extLst>
            <a:ext uri="{FF2B5EF4-FFF2-40B4-BE49-F238E27FC236}">
              <a16:creationId xmlns:a16="http://schemas.microsoft.com/office/drawing/2014/main" id="{F1C02C55-6090-455D-AD37-342BAB71082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7519" y="1340734"/>
          <a:ext cx="667927" cy="667927"/>
        </a:xfrm>
        <a:prstGeom prst="rect">
          <a:avLst/>
        </a:prstGeom>
      </xdr:spPr>
    </xdr:pic>
    <xdr:clientData/>
  </xdr:twoCellAnchor>
  <xdr:twoCellAnchor editAs="oneCell">
    <xdr:from>
      <xdr:col>0</xdr:col>
      <xdr:colOff>9646</xdr:colOff>
      <xdr:row>17</xdr:row>
      <xdr:rowOff>135038</xdr:rowOff>
    </xdr:from>
    <xdr:to>
      <xdr:col>1</xdr:col>
      <xdr:colOff>138575</xdr:colOff>
      <xdr:row>21</xdr:row>
      <xdr:rowOff>138575</xdr:rowOff>
    </xdr:to>
    <xdr:pic>
      <xdr:nvPicPr>
        <xdr:cNvPr id="39" name="Picture 38">
          <a:hlinkClick xmlns:r="http://schemas.openxmlformats.org/officeDocument/2006/relationships" r:id="rId13"/>
          <a:extLst>
            <a:ext uri="{FF2B5EF4-FFF2-40B4-BE49-F238E27FC236}">
              <a16:creationId xmlns:a16="http://schemas.microsoft.com/office/drawing/2014/main" id="{843B7A88-EAF9-40BF-BD65-FF41E3F2043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646" y="3414532"/>
          <a:ext cx="736600" cy="736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22860</xdr:colOff>
      <xdr:row>0</xdr:row>
      <xdr:rowOff>60960</xdr:rowOff>
    </xdr:from>
    <xdr:to>
      <xdr:col>2</xdr:col>
      <xdr:colOff>30480</xdr:colOff>
      <xdr:row>6</xdr:row>
      <xdr:rowOff>30480</xdr:rowOff>
    </xdr:to>
    <xdr:pic>
      <xdr:nvPicPr>
        <xdr:cNvPr id="2" name="Picture 1">
          <a:extLst>
            <a:ext uri="{FF2B5EF4-FFF2-40B4-BE49-F238E27FC236}">
              <a16:creationId xmlns:a16="http://schemas.microsoft.com/office/drawing/2014/main" id="{53F66D69-4FDA-4A8D-8CDC-40012F8214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 y="60960"/>
          <a:ext cx="1226820" cy="1181100"/>
        </a:xfrm>
        <a:prstGeom prst="rect">
          <a:avLst/>
        </a:prstGeom>
      </xdr:spPr>
    </xdr:pic>
    <xdr:clientData/>
  </xdr:twoCellAnchor>
  <xdr:twoCellAnchor editAs="oneCell">
    <xdr:from>
      <xdr:col>24</xdr:col>
      <xdr:colOff>137111</xdr:colOff>
      <xdr:row>0</xdr:row>
      <xdr:rowOff>66845</xdr:rowOff>
    </xdr:from>
    <xdr:to>
      <xdr:col>26</xdr:col>
      <xdr:colOff>257431</xdr:colOff>
      <xdr:row>5</xdr:row>
      <xdr:rowOff>179078</xdr:rowOff>
    </xdr:to>
    <xdr:pic>
      <xdr:nvPicPr>
        <xdr:cNvPr id="3" name="Picture 2">
          <a:extLst>
            <a:ext uri="{FF2B5EF4-FFF2-40B4-BE49-F238E27FC236}">
              <a16:creationId xmlns:a16="http://schemas.microsoft.com/office/drawing/2014/main" id="{78320D47-F9C2-4AC9-8114-E259543E5E4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718084" y="66845"/>
          <a:ext cx="1335401" cy="1152260"/>
        </a:xfrm>
        <a:prstGeom prst="rect">
          <a:avLst/>
        </a:prstGeom>
      </xdr:spPr>
    </xdr:pic>
    <xdr:clientData/>
  </xdr:twoCellAnchor>
  <xdr:oneCellAnchor>
    <xdr:from>
      <xdr:col>1</xdr:col>
      <xdr:colOff>373380</xdr:colOff>
      <xdr:row>0</xdr:row>
      <xdr:rowOff>30480</xdr:rowOff>
    </xdr:from>
    <xdr:ext cx="3459480" cy="1089660"/>
    <xdr:sp macro="" textlink="">
      <xdr:nvSpPr>
        <xdr:cNvPr id="4" name="Rectangle 3">
          <a:extLst>
            <a:ext uri="{FF2B5EF4-FFF2-40B4-BE49-F238E27FC236}">
              <a16:creationId xmlns:a16="http://schemas.microsoft.com/office/drawing/2014/main" id="{3DE235D2-A576-43EA-9E03-015ABDA64D76}"/>
            </a:ext>
          </a:extLst>
        </xdr:cNvPr>
        <xdr:cNvSpPr/>
      </xdr:nvSpPr>
      <xdr:spPr>
        <a:xfrm>
          <a:off x="982980" y="30480"/>
          <a:ext cx="3459480" cy="1089660"/>
        </a:xfrm>
        <a:prstGeom prst="rect">
          <a:avLst/>
        </a:prstGeom>
        <a:noFill/>
      </xdr:spPr>
      <xdr:txBody>
        <a:bodyPr wrap="square" lIns="91440" tIns="45720" rIns="91440" bIns="45720">
          <a:noAutofit/>
        </a:bodyP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Marketing Campain Analysis</a:t>
          </a:r>
        </a:p>
      </xdr:txBody>
    </xdr:sp>
    <xdr:clientData/>
  </xdr:oneCellAnchor>
  <xdr:oneCellAnchor>
    <xdr:from>
      <xdr:col>11</xdr:col>
      <xdr:colOff>288635</xdr:colOff>
      <xdr:row>11</xdr:row>
      <xdr:rowOff>30295</xdr:rowOff>
    </xdr:from>
    <xdr:ext cx="184730" cy="937629"/>
    <xdr:sp macro="" textlink="">
      <xdr:nvSpPr>
        <xdr:cNvPr id="5" name="Rectangle 4">
          <a:extLst>
            <a:ext uri="{FF2B5EF4-FFF2-40B4-BE49-F238E27FC236}">
              <a16:creationId xmlns:a16="http://schemas.microsoft.com/office/drawing/2014/main" id="{A315C81C-6622-465E-9161-3189E78BBC2D}"/>
            </a:ext>
          </a:extLst>
        </xdr:cNvPr>
        <xdr:cNvSpPr/>
      </xdr:nvSpPr>
      <xdr:spPr>
        <a:xfrm>
          <a:off x="6994235" y="2156275"/>
          <a:ext cx="184730" cy="937629"/>
        </a:xfrm>
        <a:prstGeom prst="rect">
          <a:avLst/>
        </a:prstGeom>
        <a:noFill/>
      </xdr:spPr>
      <xdr:txBody>
        <a:bodyPr wrap="none" lIns="91440" tIns="45720" rIns="91440" bIns="45720">
          <a:spAutoFit/>
        </a:bodyPr>
        <a:lstStyle/>
        <a:p>
          <a:pPr algn="ctr"/>
          <a:endPar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twoCellAnchor>
    <xdr:from>
      <xdr:col>8</xdr:col>
      <xdr:colOff>495300</xdr:colOff>
      <xdr:row>0</xdr:row>
      <xdr:rowOff>152400</xdr:rowOff>
    </xdr:from>
    <xdr:to>
      <xdr:col>23</xdr:col>
      <xdr:colOff>313317</xdr:colOff>
      <xdr:row>5</xdr:row>
      <xdr:rowOff>155448</xdr:rowOff>
    </xdr:to>
    <xdr:grpSp>
      <xdr:nvGrpSpPr>
        <xdr:cNvPr id="6" name="Group 5">
          <a:extLst>
            <a:ext uri="{FF2B5EF4-FFF2-40B4-BE49-F238E27FC236}">
              <a16:creationId xmlns:a16="http://schemas.microsoft.com/office/drawing/2014/main" id="{7EB25432-B26B-47FE-A2B9-27E113844A73}"/>
            </a:ext>
          </a:extLst>
        </xdr:cNvPr>
        <xdr:cNvGrpSpPr/>
      </xdr:nvGrpSpPr>
      <xdr:grpSpPr>
        <a:xfrm>
          <a:off x="5355624" y="152400"/>
          <a:ext cx="8931125" cy="1043075"/>
          <a:chOff x="5288280" y="152400"/>
          <a:chExt cx="8984573" cy="1031748"/>
        </a:xfrm>
      </xdr:grpSpPr>
      <xdr:grpSp>
        <xdr:nvGrpSpPr>
          <xdr:cNvPr id="7" name="Group 6">
            <a:extLst>
              <a:ext uri="{FF2B5EF4-FFF2-40B4-BE49-F238E27FC236}">
                <a16:creationId xmlns:a16="http://schemas.microsoft.com/office/drawing/2014/main" id="{0D4C86E1-DC59-F049-6781-F5A393711467}"/>
              </a:ext>
            </a:extLst>
          </xdr:cNvPr>
          <xdr:cNvGrpSpPr/>
        </xdr:nvGrpSpPr>
        <xdr:grpSpPr>
          <a:xfrm>
            <a:off x="5288280" y="198120"/>
            <a:ext cx="1424940" cy="967740"/>
            <a:chOff x="4884420" y="137160"/>
            <a:chExt cx="1577340" cy="853440"/>
          </a:xfrm>
        </xdr:grpSpPr>
        <xdr:sp macro="" textlink="">
          <xdr:nvSpPr>
            <xdr:cNvPr id="23" name="Rectangle: Rounded Corners 22">
              <a:extLst>
                <a:ext uri="{FF2B5EF4-FFF2-40B4-BE49-F238E27FC236}">
                  <a16:creationId xmlns:a16="http://schemas.microsoft.com/office/drawing/2014/main" id="{2AAC7426-5E85-C124-5942-64D7E7E813D7}"/>
                </a:ext>
              </a:extLst>
            </xdr:cNvPr>
            <xdr:cNvSpPr/>
          </xdr:nvSpPr>
          <xdr:spPr>
            <a:xfrm>
              <a:off x="4884420" y="137160"/>
              <a:ext cx="1577340" cy="853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F4">
          <xdr:nvSpPr>
            <xdr:cNvPr id="24" name="TextBox 23">
              <a:extLst>
                <a:ext uri="{FF2B5EF4-FFF2-40B4-BE49-F238E27FC236}">
                  <a16:creationId xmlns:a16="http://schemas.microsoft.com/office/drawing/2014/main" id="{97344948-FC6B-51EF-943E-A0EC85D9353C}"/>
                </a:ext>
              </a:extLst>
            </xdr:cNvPr>
            <xdr:cNvSpPr txBox="1"/>
          </xdr:nvSpPr>
          <xdr:spPr>
            <a:xfrm>
              <a:off x="5234940" y="437956"/>
              <a:ext cx="1059180" cy="458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9DC89D-D3B0-471E-8320-91310175D769}" type="TxLink">
                <a:rPr lang="en-US" sz="2800" b="0" i="0" u="none" strike="noStrike" kern="1200">
                  <a:solidFill>
                    <a:srgbClr val="000000"/>
                  </a:solidFill>
                  <a:latin typeface="Calibri"/>
                  <a:ea typeface="Calibri"/>
                  <a:cs typeface="Calibri"/>
                </a:rPr>
                <a:pPr/>
                <a:t>70 M</a:t>
              </a:fld>
              <a:endParaRPr lang="en-US" sz="2800" kern="1200"/>
            </a:p>
          </xdr:txBody>
        </xdr:sp>
      </xdr:grpSp>
      <xdr:grpSp>
        <xdr:nvGrpSpPr>
          <xdr:cNvPr id="8" name="Group 7">
            <a:extLst>
              <a:ext uri="{FF2B5EF4-FFF2-40B4-BE49-F238E27FC236}">
                <a16:creationId xmlns:a16="http://schemas.microsoft.com/office/drawing/2014/main" id="{D40E347B-99F1-1E92-2662-67DC59FB4EF0}"/>
              </a:ext>
            </a:extLst>
          </xdr:cNvPr>
          <xdr:cNvGrpSpPr/>
        </xdr:nvGrpSpPr>
        <xdr:grpSpPr>
          <a:xfrm>
            <a:off x="6804660" y="207264"/>
            <a:ext cx="1440180" cy="967740"/>
            <a:chOff x="4884420" y="137160"/>
            <a:chExt cx="1577340" cy="853440"/>
          </a:xfrm>
        </xdr:grpSpPr>
        <xdr:sp macro="" textlink="">
          <xdr:nvSpPr>
            <xdr:cNvPr id="21" name="Rectangle: Rounded Corners 20">
              <a:extLst>
                <a:ext uri="{FF2B5EF4-FFF2-40B4-BE49-F238E27FC236}">
                  <a16:creationId xmlns:a16="http://schemas.microsoft.com/office/drawing/2014/main" id="{42DBB7BF-42A6-98F1-A6CA-6C2E5DFEF9AE}"/>
                </a:ext>
              </a:extLst>
            </xdr:cNvPr>
            <xdr:cNvSpPr/>
          </xdr:nvSpPr>
          <xdr:spPr>
            <a:xfrm>
              <a:off x="4884420" y="137160"/>
              <a:ext cx="1577340" cy="853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E10">
          <xdr:nvSpPr>
            <xdr:cNvPr id="22" name="TextBox 21">
              <a:extLst>
                <a:ext uri="{FF2B5EF4-FFF2-40B4-BE49-F238E27FC236}">
                  <a16:creationId xmlns:a16="http://schemas.microsoft.com/office/drawing/2014/main" id="{82E84AB5-6C8A-33C2-A095-7B70032236CD}"/>
                </a:ext>
              </a:extLst>
            </xdr:cNvPr>
            <xdr:cNvSpPr txBox="1"/>
          </xdr:nvSpPr>
          <xdr:spPr>
            <a:xfrm>
              <a:off x="5059680" y="508929"/>
              <a:ext cx="1242060" cy="412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576DEB-4A35-498E-BE35-8AD4A8E6EC80}" type="TxLink">
                <a:rPr lang="en-US" sz="2000" b="1" i="0" u="none" strike="noStrike" kern="1200">
                  <a:solidFill>
                    <a:srgbClr val="000000"/>
                  </a:solidFill>
                  <a:latin typeface="Calibri"/>
                  <a:ea typeface="Calibri"/>
                  <a:cs typeface="Calibri"/>
                </a:rPr>
                <a:pPr/>
                <a:t>75,600K</a:t>
              </a:fld>
              <a:endParaRPr lang="en-US" sz="2000" b="1" kern="1200"/>
            </a:p>
          </xdr:txBody>
        </xdr:sp>
      </xdr:grpSp>
      <xdr:grpSp>
        <xdr:nvGrpSpPr>
          <xdr:cNvPr id="9" name="Group 8">
            <a:extLst>
              <a:ext uri="{FF2B5EF4-FFF2-40B4-BE49-F238E27FC236}">
                <a16:creationId xmlns:a16="http://schemas.microsoft.com/office/drawing/2014/main" id="{3C605709-9C97-C7A4-AFB6-1705151743DA}"/>
              </a:ext>
            </a:extLst>
          </xdr:cNvPr>
          <xdr:cNvGrpSpPr/>
        </xdr:nvGrpSpPr>
        <xdr:grpSpPr>
          <a:xfrm>
            <a:off x="12980929" y="152400"/>
            <a:ext cx="1291924" cy="989075"/>
            <a:chOff x="4913915" y="144978"/>
            <a:chExt cx="1414965" cy="845622"/>
          </a:xfrm>
        </xdr:grpSpPr>
        <xdr:sp macro="" textlink="">
          <xdr:nvSpPr>
            <xdr:cNvPr id="19" name="Rectangle: Rounded Corners 18">
              <a:extLst>
                <a:ext uri="{FF2B5EF4-FFF2-40B4-BE49-F238E27FC236}">
                  <a16:creationId xmlns:a16="http://schemas.microsoft.com/office/drawing/2014/main" id="{0D3FAFA4-8613-FA39-4516-9A80F9A93FAD}"/>
                </a:ext>
              </a:extLst>
            </xdr:cNvPr>
            <xdr:cNvSpPr/>
          </xdr:nvSpPr>
          <xdr:spPr>
            <a:xfrm>
              <a:off x="4913915" y="144978"/>
              <a:ext cx="1380512" cy="84562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E7">
          <xdr:nvSpPr>
            <xdr:cNvPr id="20" name="TextBox 19">
              <a:extLst>
                <a:ext uri="{FF2B5EF4-FFF2-40B4-BE49-F238E27FC236}">
                  <a16:creationId xmlns:a16="http://schemas.microsoft.com/office/drawing/2014/main" id="{E3B837CC-0456-07D1-4180-CA68EA00A085}"/>
                </a:ext>
              </a:extLst>
            </xdr:cNvPr>
            <xdr:cNvSpPr txBox="1"/>
          </xdr:nvSpPr>
          <xdr:spPr>
            <a:xfrm>
              <a:off x="5319049" y="556492"/>
              <a:ext cx="1009831"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6D4205-DCF3-4CE2-B98D-E3CD32051AAA}" type="TxLink">
                <a:rPr lang="en-US" sz="1800" b="1" i="0" u="none" strike="noStrike" kern="1200">
                  <a:solidFill>
                    <a:srgbClr val="000000"/>
                  </a:solidFill>
                  <a:latin typeface="Calibri"/>
                  <a:ea typeface="Calibri"/>
                  <a:cs typeface="Calibri"/>
                </a:rPr>
                <a:pPr/>
                <a:t>8 M</a:t>
              </a:fld>
              <a:endParaRPr lang="en-US" sz="1800" b="1" kern="1200"/>
            </a:p>
          </xdr:txBody>
        </xdr:sp>
      </xdr:grpSp>
      <xdr:grpSp>
        <xdr:nvGrpSpPr>
          <xdr:cNvPr id="10" name="Group 9">
            <a:extLst>
              <a:ext uri="{FF2B5EF4-FFF2-40B4-BE49-F238E27FC236}">
                <a16:creationId xmlns:a16="http://schemas.microsoft.com/office/drawing/2014/main" id="{4D0A8E7B-5B42-4EFC-2AF5-382757344463}"/>
              </a:ext>
            </a:extLst>
          </xdr:cNvPr>
          <xdr:cNvGrpSpPr/>
        </xdr:nvGrpSpPr>
        <xdr:grpSpPr>
          <a:xfrm>
            <a:off x="8336280" y="216408"/>
            <a:ext cx="1325880" cy="967740"/>
            <a:chOff x="4884420" y="137160"/>
            <a:chExt cx="1577340" cy="853440"/>
          </a:xfrm>
        </xdr:grpSpPr>
        <xdr:sp macro="" textlink="">
          <xdr:nvSpPr>
            <xdr:cNvPr id="17" name="Rectangle: Rounded Corners 16">
              <a:extLst>
                <a:ext uri="{FF2B5EF4-FFF2-40B4-BE49-F238E27FC236}">
                  <a16:creationId xmlns:a16="http://schemas.microsoft.com/office/drawing/2014/main" id="{95DD8512-AE50-0495-AD3A-90B582CBD5E5}"/>
                </a:ext>
              </a:extLst>
            </xdr:cNvPr>
            <xdr:cNvSpPr/>
          </xdr:nvSpPr>
          <xdr:spPr>
            <a:xfrm>
              <a:off x="4884420" y="137160"/>
              <a:ext cx="1577340" cy="853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F7">
          <xdr:nvSpPr>
            <xdr:cNvPr id="18" name="TextBox 17">
              <a:extLst>
                <a:ext uri="{FF2B5EF4-FFF2-40B4-BE49-F238E27FC236}">
                  <a16:creationId xmlns:a16="http://schemas.microsoft.com/office/drawing/2014/main" id="{8AB00D38-EA10-9BDD-8F44-692835F0F5E9}"/>
                </a:ext>
              </a:extLst>
            </xdr:cNvPr>
            <xdr:cNvSpPr txBox="1"/>
          </xdr:nvSpPr>
          <xdr:spPr>
            <a:xfrm>
              <a:off x="5258886" y="587220"/>
              <a:ext cx="934243"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545C7D-2E70-47D5-83F2-D8EF2A4AF4B4}" type="TxLink">
                <a:rPr lang="en-US" sz="1800" b="1" i="0" u="none" strike="noStrike" kern="1200">
                  <a:solidFill>
                    <a:srgbClr val="000000"/>
                  </a:solidFill>
                  <a:latin typeface="Calibri"/>
                  <a:ea typeface="Calibri"/>
                  <a:cs typeface="Calibri"/>
                </a:rPr>
                <a:pPr/>
                <a:t>11.40</a:t>
              </a:fld>
              <a:endParaRPr lang="en-US" sz="1800" b="1" kern="1200"/>
            </a:p>
          </xdr:txBody>
        </xdr:sp>
      </xdr:grpSp>
      <xdr:grpSp>
        <xdr:nvGrpSpPr>
          <xdr:cNvPr id="11" name="Group 10">
            <a:extLst>
              <a:ext uri="{FF2B5EF4-FFF2-40B4-BE49-F238E27FC236}">
                <a16:creationId xmlns:a16="http://schemas.microsoft.com/office/drawing/2014/main" id="{027E863B-9C91-B2A0-35AE-DD7662DE4F91}"/>
              </a:ext>
            </a:extLst>
          </xdr:cNvPr>
          <xdr:cNvGrpSpPr/>
        </xdr:nvGrpSpPr>
        <xdr:grpSpPr>
          <a:xfrm>
            <a:off x="9757199" y="164592"/>
            <a:ext cx="1535641" cy="1008888"/>
            <a:chOff x="4918588" y="205740"/>
            <a:chExt cx="1573652" cy="837003"/>
          </a:xfrm>
        </xdr:grpSpPr>
        <xdr:sp macro="" textlink="">
          <xdr:nvSpPr>
            <xdr:cNvPr id="15" name="Rectangle: Rounded Corners 14">
              <a:extLst>
                <a:ext uri="{FF2B5EF4-FFF2-40B4-BE49-F238E27FC236}">
                  <a16:creationId xmlns:a16="http://schemas.microsoft.com/office/drawing/2014/main" id="{094FACAB-B647-6699-15E3-268E375BC77C}"/>
                </a:ext>
              </a:extLst>
            </xdr:cNvPr>
            <xdr:cNvSpPr/>
          </xdr:nvSpPr>
          <xdr:spPr>
            <a:xfrm>
              <a:off x="4918588" y="205740"/>
              <a:ext cx="1573652" cy="83700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E13">
          <xdr:nvSpPr>
            <xdr:cNvPr id="16" name="TextBox 15">
              <a:extLst>
                <a:ext uri="{FF2B5EF4-FFF2-40B4-BE49-F238E27FC236}">
                  <a16:creationId xmlns:a16="http://schemas.microsoft.com/office/drawing/2014/main" id="{4D241680-B079-78CC-C6F9-3765D42DCD97}"/>
                </a:ext>
              </a:extLst>
            </xdr:cNvPr>
            <xdr:cNvSpPr txBox="1"/>
          </xdr:nvSpPr>
          <xdr:spPr>
            <a:xfrm>
              <a:off x="5346469" y="634670"/>
              <a:ext cx="801624" cy="333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29D9A0-E931-4F3E-8705-8AE39E050A98}" type="TxLink">
                <a:rPr lang="en-US" sz="1800" b="1" i="0" u="none" strike="noStrike" kern="1200">
                  <a:solidFill>
                    <a:srgbClr val="000000"/>
                  </a:solidFill>
                  <a:latin typeface="Calibri"/>
                  <a:ea typeface="Calibri"/>
                  <a:cs typeface="Calibri"/>
                </a:rPr>
                <a:pPr/>
                <a:t>7.56</a:t>
              </a:fld>
              <a:endParaRPr lang="en-US" sz="1800" b="1" kern="1200"/>
            </a:p>
          </xdr:txBody>
        </xdr:sp>
      </xdr:grpSp>
      <xdr:grpSp>
        <xdr:nvGrpSpPr>
          <xdr:cNvPr id="12" name="Group 11">
            <a:extLst>
              <a:ext uri="{FF2B5EF4-FFF2-40B4-BE49-F238E27FC236}">
                <a16:creationId xmlns:a16="http://schemas.microsoft.com/office/drawing/2014/main" id="{EAA85CCC-92BF-9CD4-E8DC-1985CDCEB371}"/>
              </a:ext>
            </a:extLst>
          </xdr:cNvPr>
          <xdr:cNvGrpSpPr/>
        </xdr:nvGrpSpPr>
        <xdr:grpSpPr>
          <a:xfrm>
            <a:off x="11399558" y="152400"/>
            <a:ext cx="1478280" cy="1021080"/>
            <a:chOff x="4900722" y="181743"/>
            <a:chExt cx="1577340" cy="853440"/>
          </a:xfrm>
        </xdr:grpSpPr>
        <xdr:sp macro="" textlink="">
          <xdr:nvSpPr>
            <xdr:cNvPr id="13" name="Rectangle: Rounded Corners 12">
              <a:extLst>
                <a:ext uri="{FF2B5EF4-FFF2-40B4-BE49-F238E27FC236}">
                  <a16:creationId xmlns:a16="http://schemas.microsoft.com/office/drawing/2014/main" id="{74C455B6-540F-CCA5-81F2-C4561F279B1E}"/>
                </a:ext>
              </a:extLst>
            </xdr:cNvPr>
            <xdr:cNvSpPr/>
          </xdr:nvSpPr>
          <xdr:spPr>
            <a:xfrm>
              <a:off x="4900722" y="181743"/>
              <a:ext cx="1577340" cy="853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Merge1!G4">
          <xdr:nvSpPr>
            <xdr:cNvPr id="14" name="TextBox 13">
              <a:extLst>
                <a:ext uri="{FF2B5EF4-FFF2-40B4-BE49-F238E27FC236}">
                  <a16:creationId xmlns:a16="http://schemas.microsoft.com/office/drawing/2014/main" id="{9CDDB305-7DEF-2634-B1A3-3C900E557E59}"/>
                </a:ext>
              </a:extLst>
            </xdr:cNvPr>
            <xdr:cNvSpPr txBox="1"/>
          </xdr:nvSpPr>
          <xdr:spPr>
            <a:xfrm>
              <a:off x="5353899" y="647700"/>
              <a:ext cx="895369"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CA20F6-C7D7-4619-821B-188A711E9E41}" type="TxLink">
                <a:rPr lang="en-US" sz="1800" b="1" i="0" u="none" strike="noStrike" kern="1200">
                  <a:solidFill>
                    <a:sysClr val="windowText" lastClr="000000"/>
                  </a:solidFill>
                  <a:latin typeface="Calibri"/>
                  <a:ea typeface="Calibri"/>
                  <a:cs typeface="Calibri"/>
                </a:rPr>
                <a:pPr/>
                <a:t>3.27</a:t>
              </a:fld>
              <a:endParaRPr lang="en-US" sz="1800" b="1" kern="1200">
                <a:solidFill>
                  <a:sysClr val="windowText" lastClr="000000"/>
                </a:solidFill>
              </a:endParaRPr>
            </a:p>
          </xdr:txBody>
        </xdr:sp>
      </xdr:grpSp>
    </xdr:grpSp>
    <xdr:clientData/>
  </xdr:twoCellAnchor>
  <xdr:oneCellAnchor>
    <xdr:from>
      <xdr:col>12</xdr:col>
      <xdr:colOff>335280</xdr:colOff>
      <xdr:row>2</xdr:row>
      <xdr:rowOff>99060</xdr:rowOff>
    </xdr:from>
    <xdr:ext cx="184731" cy="264560"/>
    <xdr:sp macro="" textlink="">
      <xdr:nvSpPr>
        <xdr:cNvPr id="25" name="TextBox 24">
          <a:extLst>
            <a:ext uri="{FF2B5EF4-FFF2-40B4-BE49-F238E27FC236}">
              <a16:creationId xmlns:a16="http://schemas.microsoft.com/office/drawing/2014/main" id="{7DFDF97C-3EA4-446C-BA6B-906879D04B3F}"/>
            </a:ext>
          </a:extLst>
        </xdr:cNvPr>
        <xdr:cNvSpPr txBox="1"/>
      </xdr:nvSpPr>
      <xdr:spPr>
        <a:xfrm>
          <a:off x="7650480" y="57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kern="1200"/>
        </a:p>
      </xdr:txBody>
    </xdr:sp>
    <xdr:clientData/>
  </xdr:oneCellAnchor>
  <xdr:twoCellAnchor>
    <xdr:from>
      <xdr:col>1</xdr:col>
      <xdr:colOff>175260</xdr:colOff>
      <xdr:row>6</xdr:row>
      <xdr:rowOff>22860</xdr:rowOff>
    </xdr:from>
    <xdr:to>
      <xdr:col>4</xdr:col>
      <xdr:colOff>121920</xdr:colOff>
      <xdr:row>34</xdr:row>
      <xdr:rowOff>135193</xdr:rowOff>
    </xdr:to>
    <xdr:grpSp>
      <xdr:nvGrpSpPr>
        <xdr:cNvPr id="28" name="Group 27">
          <a:extLst>
            <a:ext uri="{FF2B5EF4-FFF2-40B4-BE49-F238E27FC236}">
              <a16:creationId xmlns:a16="http://schemas.microsoft.com/office/drawing/2014/main" id="{8B949FFF-898F-483C-AC89-05D999B24F77}"/>
            </a:ext>
          </a:extLst>
        </xdr:cNvPr>
        <xdr:cNvGrpSpPr/>
      </xdr:nvGrpSpPr>
      <xdr:grpSpPr>
        <a:xfrm>
          <a:off x="782801" y="1248238"/>
          <a:ext cx="1769281" cy="5343360"/>
          <a:chOff x="777240" y="1226820"/>
          <a:chExt cx="1775460" cy="4175760"/>
        </a:xfrm>
      </xdr:grpSpPr>
      <xdr:sp macro="" textlink="">
        <xdr:nvSpPr>
          <xdr:cNvPr id="29" name="Rectangle 28">
            <a:extLst>
              <a:ext uri="{FF2B5EF4-FFF2-40B4-BE49-F238E27FC236}">
                <a16:creationId xmlns:a16="http://schemas.microsoft.com/office/drawing/2014/main" id="{2A0ED5F4-3AA2-0600-A184-90AE5B50535A}"/>
              </a:ext>
            </a:extLst>
          </xdr:cNvPr>
          <xdr:cNvSpPr/>
        </xdr:nvSpPr>
        <xdr:spPr>
          <a:xfrm>
            <a:off x="777240" y="1226820"/>
            <a:ext cx="1775460" cy="417576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mc:AlternateContent xmlns:mc="http://schemas.openxmlformats.org/markup-compatibility/2006" xmlns:a14="http://schemas.microsoft.com/office/drawing/2010/main">
        <mc:Choice Requires="a14">
          <xdr:graphicFrame macro="">
            <xdr:nvGraphicFramePr>
              <xdr:cNvPr id="30" name="Channel_Used 4">
                <a:extLst>
                  <a:ext uri="{FF2B5EF4-FFF2-40B4-BE49-F238E27FC236}">
                    <a16:creationId xmlns:a16="http://schemas.microsoft.com/office/drawing/2014/main" id="{0E01C250-1C70-8584-A0C2-F5E32AD07BD8}"/>
                  </a:ext>
                </a:extLst>
              </xdr:cNvPr>
              <xdr:cNvGraphicFramePr/>
            </xdr:nvGraphicFramePr>
            <xdr:xfrm>
              <a:off x="792480" y="3115780"/>
              <a:ext cx="1706880" cy="2155524"/>
            </xdr:xfrm>
            <a:graphic>
              <a:graphicData uri="http://schemas.microsoft.com/office/drawing/2010/slicer">
                <sle:slicer xmlns:sle="http://schemas.microsoft.com/office/drawing/2010/slicer" name="Channel_Used 4"/>
              </a:graphicData>
            </a:graphic>
          </xdr:graphicFrame>
        </mc:Choice>
        <mc:Fallback xmlns="">
          <xdr:sp macro="" textlink="">
            <xdr:nvSpPr>
              <xdr:cNvPr id="0" name=""/>
              <xdr:cNvSpPr>
                <a:spLocks noTextEdit="1"/>
              </xdr:cNvSpPr>
            </xdr:nvSpPr>
            <xdr:spPr>
              <a:xfrm>
                <a:off x="805143" y="3647726"/>
                <a:ext cx="1721059" cy="2747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179797</xdr:colOff>
      <xdr:row>6</xdr:row>
      <xdr:rowOff>85618</xdr:rowOff>
    </xdr:from>
    <xdr:to>
      <xdr:col>4</xdr:col>
      <xdr:colOff>14959</xdr:colOff>
      <xdr:row>16</xdr:row>
      <xdr:rowOff>179251</xdr:rowOff>
    </xdr:to>
    <mc:AlternateContent xmlns:mc="http://schemas.openxmlformats.org/markup-compatibility/2006" xmlns:a14="http://schemas.microsoft.com/office/drawing/2010/main">
      <mc:Choice Requires="a14">
        <xdr:graphicFrame macro="">
          <xdr:nvGraphicFramePr>
            <xdr:cNvPr id="39" name="Campaign_Type 7">
              <a:extLst>
                <a:ext uri="{FF2B5EF4-FFF2-40B4-BE49-F238E27FC236}">
                  <a16:creationId xmlns:a16="http://schemas.microsoft.com/office/drawing/2014/main" id="{E9529703-58FD-4775-AEF6-C121D6318EDB}"/>
                </a:ext>
              </a:extLst>
            </xdr:cNvPr>
            <xdr:cNvGraphicFramePr/>
          </xdr:nvGraphicFramePr>
          <xdr:xfrm>
            <a:off x="0" y="0"/>
            <a:ext cx="0" cy="0"/>
          </xdr:xfrm>
          <a:graphic>
            <a:graphicData uri="http://schemas.microsoft.com/office/drawing/2010/slicer">
              <sle:slicer xmlns:sle="http://schemas.microsoft.com/office/drawing/2010/slicer" name="Campaign_Type 7"/>
            </a:graphicData>
          </a:graphic>
        </xdr:graphicFrame>
      </mc:Choice>
      <mc:Fallback xmlns="">
        <xdr:sp macro="" textlink="">
          <xdr:nvSpPr>
            <xdr:cNvPr id="0" name=""/>
            <xdr:cNvSpPr>
              <a:spLocks noTextEdit="1"/>
            </xdr:cNvSpPr>
          </xdr:nvSpPr>
          <xdr:spPr>
            <a:xfrm>
              <a:off x="787685" y="1284270"/>
              <a:ext cx="1658825" cy="1942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156039</xdr:colOff>
      <xdr:row>6</xdr:row>
      <xdr:rowOff>56186</xdr:rowOff>
    </xdr:from>
    <xdr:to>
      <xdr:col>11</xdr:col>
      <xdr:colOff>359596</xdr:colOff>
      <xdr:row>20</xdr:row>
      <xdr:rowOff>19050</xdr:rowOff>
    </xdr:to>
    <xdr:graphicFrame macro="">
      <xdr:nvGraphicFramePr>
        <xdr:cNvPr id="40" name="Chart 39">
          <a:extLst>
            <a:ext uri="{FF2B5EF4-FFF2-40B4-BE49-F238E27FC236}">
              <a16:creationId xmlns:a16="http://schemas.microsoft.com/office/drawing/2014/main" id="{E2443C81-36A5-4144-98ED-DCCF86172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453775</xdr:colOff>
      <xdr:row>6</xdr:row>
      <xdr:rowOff>68494</xdr:rowOff>
    </xdr:from>
    <xdr:to>
      <xdr:col>20</xdr:col>
      <xdr:colOff>136988</xdr:colOff>
      <xdr:row>20</xdr:row>
      <xdr:rowOff>25685</xdr:rowOff>
    </xdr:to>
    <xdr:graphicFrame macro="">
      <xdr:nvGraphicFramePr>
        <xdr:cNvPr id="41" name="Chart 40">
          <a:extLst>
            <a:ext uri="{FF2B5EF4-FFF2-40B4-BE49-F238E27FC236}">
              <a16:creationId xmlns:a16="http://schemas.microsoft.com/office/drawing/2014/main" id="{DC1081EE-B98B-41ED-994A-15C4B8CC6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153898</xdr:colOff>
      <xdr:row>20</xdr:row>
      <xdr:rowOff>59826</xdr:rowOff>
    </xdr:from>
    <xdr:to>
      <xdr:col>11</xdr:col>
      <xdr:colOff>376719</xdr:colOff>
      <xdr:row>34</xdr:row>
      <xdr:rowOff>119865</xdr:rowOff>
    </xdr:to>
    <xdr:graphicFrame macro="">
      <xdr:nvGraphicFramePr>
        <xdr:cNvPr id="42" name="Chart 41">
          <a:extLst>
            <a:ext uri="{FF2B5EF4-FFF2-40B4-BE49-F238E27FC236}">
              <a16:creationId xmlns:a16="http://schemas.microsoft.com/office/drawing/2014/main" id="{9E468864-F57C-4BF7-ABA5-79020987C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453775</xdr:colOff>
      <xdr:row>20</xdr:row>
      <xdr:rowOff>111302</xdr:rowOff>
    </xdr:from>
    <xdr:to>
      <xdr:col>20</xdr:col>
      <xdr:colOff>145550</xdr:colOff>
      <xdr:row>34</xdr:row>
      <xdr:rowOff>102740</xdr:rowOff>
    </xdr:to>
    <xdr:graphicFrame macro="">
      <xdr:nvGraphicFramePr>
        <xdr:cNvPr id="43" name="Chart 42">
          <a:extLst>
            <a:ext uri="{FF2B5EF4-FFF2-40B4-BE49-F238E27FC236}">
              <a16:creationId xmlns:a16="http://schemas.microsoft.com/office/drawing/2014/main" id="{F3827C5C-3896-414D-ACA6-54D183E86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23</xdr:col>
      <xdr:colOff>85618</xdr:colOff>
      <xdr:row>13</xdr:row>
      <xdr:rowOff>102741</xdr:rowOff>
    </xdr:from>
    <xdr:ext cx="184731" cy="593304"/>
    <xdr:sp macro="" textlink="">
      <xdr:nvSpPr>
        <xdr:cNvPr id="54" name="TextBox 53">
          <a:extLst>
            <a:ext uri="{FF2B5EF4-FFF2-40B4-BE49-F238E27FC236}">
              <a16:creationId xmlns:a16="http://schemas.microsoft.com/office/drawing/2014/main" id="{D246C7F1-05CB-1DE1-E215-6F75797EE731}"/>
            </a:ext>
          </a:extLst>
        </xdr:cNvPr>
        <xdr:cNvSpPr txBox="1"/>
      </xdr:nvSpPr>
      <xdr:spPr>
        <a:xfrm>
          <a:off x="14067034" y="2611348"/>
          <a:ext cx="184731"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3200" kern="1200"/>
        </a:p>
      </xdr:txBody>
    </xdr:sp>
    <xdr:clientData/>
  </xdr:oneCellAnchor>
  <xdr:twoCellAnchor>
    <xdr:from>
      <xdr:col>0</xdr:col>
      <xdr:colOff>0</xdr:colOff>
      <xdr:row>6</xdr:row>
      <xdr:rowOff>17123</xdr:rowOff>
    </xdr:from>
    <xdr:to>
      <xdr:col>1</xdr:col>
      <xdr:colOff>138872</xdr:colOff>
      <xdr:row>34</xdr:row>
      <xdr:rowOff>108999</xdr:rowOff>
    </xdr:to>
    <xdr:sp macro="" textlink="">
      <xdr:nvSpPr>
        <xdr:cNvPr id="49" name="Rectangle 48">
          <a:extLst>
            <a:ext uri="{FF2B5EF4-FFF2-40B4-BE49-F238E27FC236}">
              <a16:creationId xmlns:a16="http://schemas.microsoft.com/office/drawing/2014/main" id="{B633D108-7B96-4E86-AF44-A25B988BDE90}"/>
            </a:ext>
          </a:extLst>
        </xdr:cNvPr>
        <xdr:cNvSpPr/>
      </xdr:nvSpPr>
      <xdr:spPr>
        <a:xfrm>
          <a:off x="0" y="1215775"/>
          <a:ext cx="746760" cy="517758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0</xdr:col>
      <xdr:colOff>42809</xdr:colOff>
      <xdr:row>6</xdr:row>
      <xdr:rowOff>102741</xdr:rowOff>
    </xdr:from>
    <xdr:to>
      <xdr:col>1</xdr:col>
      <xdr:colOff>102848</xdr:colOff>
      <xdr:row>10</xdr:row>
      <xdr:rowOff>51477</xdr:rowOff>
    </xdr:to>
    <xdr:pic>
      <xdr:nvPicPr>
        <xdr:cNvPr id="50" name="Picture 49">
          <a:hlinkClick xmlns:r="http://schemas.openxmlformats.org/officeDocument/2006/relationships" r:id="rId7"/>
          <a:extLst>
            <a:ext uri="{FF2B5EF4-FFF2-40B4-BE49-F238E27FC236}">
              <a16:creationId xmlns:a16="http://schemas.microsoft.com/office/drawing/2014/main" id="{309EA9A6-218C-43E2-B06E-8EF679CA6F8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2809" y="1301393"/>
          <a:ext cx="667927" cy="667927"/>
        </a:xfrm>
        <a:prstGeom prst="rect">
          <a:avLst/>
        </a:prstGeom>
      </xdr:spPr>
    </xdr:pic>
    <xdr:clientData/>
  </xdr:twoCellAnchor>
  <xdr:twoCellAnchor editAs="oneCell">
    <xdr:from>
      <xdr:col>0</xdr:col>
      <xdr:colOff>0</xdr:colOff>
      <xdr:row>11</xdr:row>
      <xdr:rowOff>59932</xdr:rowOff>
    </xdr:from>
    <xdr:to>
      <xdr:col>1</xdr:col>
      <xdr:colOff>103797</xdr:colOff>
      <xdr:row>15</xdr:row>
      <xdr:rowOff>1055</xdr:rowOff>
    </xdr:to>
    <xdr:pic>
      <xdr:nvPicPr>
        <xdr:cNvPr id="51" name="Picture 50">
          <a:hlinkClick xmlns:r="http://schemas.openxmlformats.org/officeDocument/2006/relationships" r:id="rId9"/>
          <a:extLst>
            <a:ext uri="{FF2B5EF4-FFF2-40B4-BE49-F238E27FC236}">
              <a16:creationId xmlns:a16="http://schemas.microsoft.com/office/drawing/2014/main" id="{53682FF2-9490-499D-B064-D0B35959F77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2157572"/>
          <a:ext cx="711685" cy="711685"/>
        </a:xfrm>
        <a:prstGeom prst="rect">
          <a:avLst/>
        </a:prstGeom>
      </xdr:spPr>
    </xdr:pic>
    <xdr:clientData/>
  </xdr:twoCellAnchor>
  <xdr:twoCellAnchor editAs="oneCell">
    <xdr:from>
      <xdr:col>0</xdr:col>
      <xdr:colOff>68494</xdr:colOff>
      <xdr:row>22</xdr:row>
      <xdr:rowOff>59931</xdr:rowOff>
    </xdr:from>
    <xdr:to>
      <xdr:col>1</xdr:col>
      <xdr:colOff>39235</xdr:colOff>
      <xdr:row>25</xdr:row>
      <xdr:rowOff>174886</xdr:rowOff>
    </xdr:to>
    <xdr:pic>
      <xdr:nvPicPr>
        <xdr:cNvPr id="52" name="Picture 51">
          <a:hlinkClick xmlns:r="http://schemas.openxmlformats.org/officeDocument/2006/relationships" r:id="rId11"/>
          <a:extLst>
            <a:ext uri="{FF2B5EF4-FFF2-40B4-BE49-F238E27FC236}">
              <a16:creationId xmlns:a16="http://schemas.microsoft.com/office/drawing/2014/main" id="{C14C7F71-A05C-4EE2-B2A0-4487EAF58E9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8494" y="4186718"/>
          <a:ext cx="578629" cy="654348"/>
        </a:xfrm>
        <a:prstGeom prst="rect">
          <a:avLst/>
        </a:prstGeom>
      </xdr:spPr>
    </xdr:pic>
    <xdr:clientData/>
  </xdr:twoCellAnchor>
  <xdr:twoCellAnchor editAs="oneCell">
    <xdr:from>
      <xdr:col>0</xdr:col>
      <xdr:colOff>0</xdr:colOff>
      <xdr:row>16</xdr:row>
      <xdr:rowOff>145549</xdr:rowOff>
    </xdr:from>
    <xdr:to>
      <xdr:col>1</xdr:col>
      <xdr:colOff>128712</xdr:colOff>
      <xdr:row>20</xdr:row>
      <xdr:rowOff>162958</xdr:rowOff>
    </xdr:to>
    <xdr:pic>
      <xdr:nvPicPr>
        <xdr:cNvPr id="53" name="Picture 52">
          <a:hlinkClick xmlns:r="http://schemas.openxmlformats.org/officeDocument/2006/relationships" r:id="rId13"/>
          <a:extLst>
            <a:ext uri="{FF2B5EF4-FFF2-40B4-BE49-F238E27FC236}">
              <a16:creationId xmlns:a16="http://schemas.microsoft.com/office/drawing/2014/main" id="{08637CC4-4BCE-4B57-A21A-7814EEE243D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3193549"/>
          <a:ext cx="736600" cy="736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655.933240393519" backgroundQuery="1" createdVersion="8" refreshedVersion="8" minRefreshableVersion="3" recordCount="1001" xr:uid="{31EB5819-4003-4AC7-BBDD-479791A71FBC}">
  <cacheSource type="external" connectionId="2"/>
  <cacheFields count="20">
    <cacheField name="company_id" numFmtId="0">
      <sharedItems containsSemiMixedTypes="0" containsString="0" containsNumber="1" containsInteger="1" minValue="1" maxValue="1001"/>
    </cacheField>
    <cacheField name="Company" numFmtId="0">
      <sharedItems count="10">
        <s v="ABC Corp"/>
        <s v="XYZ Ltd"/>
        <s v="Global Inc"/>
        <s v="NextGen"/>
        <s v="Prime Solutions"/>
        <s v="BrightPath"/>
        <s v="TechNova"/>
        <s v="Evolve"/>
        <s v="CoreValue"/>
        <s v="Pioneer"/>
      </sharedItems>
    </cacheField>
    <cacheField name="Campaign_Type" numFmtId="0">
      <sharedItems count="5">
        <s v="Email"/>
        <s v="Influencer"/>
        <s v="Display"/>
        <s v="Search"/>
        <s v="Social Media"/>
      </sharedItems>
    </cacheField>
    <cacheField name="Channel_Used" numFmtId="0">
      <sharedItems count="6">
        <s v="Google Ads"/>
        <s v="YouTube"/>
        <s v="Instagram"/>
        <s v="Website"/>
        <s v="Facebook"/>
        <s v="Email"/>
      </sharedItems>
    </cacheField>
    <cacheField name="Customer_Segment" numFmtId="0">
      <sharedItems count="5">
        <s v="Health &amp; Wellness"/>
        <s v="Fashionistas"/>
        <s v="Outdoor Adventurers"/>
        <s v="Foodies"/>
        <s v="Tech Enthusiasts"/>
      </sharedItems>
    </cacheField>
    <cacheField name="Duration_days" numFmtId="0">
      <sharedItems containsSemiMixedTypes="0" containsString="0" containsNumber="1" containsInteger="1" minValue="10" maxValue="90"/>
    </cacheField>
    <cacheField name="Conversion_Rate" numFmtId="0">
      <sharedItems containsSemiMixedTypes="0" containsString="0" containsNumber="1" minValue="3" maxValue="12"/>
    </cacheField>
    <cacheField name="Acquisition_Cost" numFmtId="0">
      <sharedItems containsSemiMixedTypes="0" containsString="0" containsNumber="1" containsInteger="1" minValue="805" maxValue="2996"/>
    </cacheField>
    <cacheField name="ROI" numFmtId="0">
      <sharedItems containsSemiMixedTypes="0" containsString="0" containsNumber="1" minValue="1.5" maxValue="5"/>
    </cacheField>
    <cacheField name="Location" numFmtId="0">
      <sharedItems count="8">
        <s v="New York"/>
        <s v="London"/>
        <s v="Sydney"/>
        <s v="Mumbai"/>
        <s v="Berlin"/>
        <s v="Tokyo"/>
        <s v="Dubai"/>
        <s v="Paris"/>
      </sharedItems>
    </cacheField>
    <cacheField name="Language" numFmtId="0">
      <sharedItems count="5">
        <s v="English"/>
        <s v="Hindi"/>
        <s v="German"/>
        <s v="Japanese"/>
        <s v="French"/>
      </sharedItems>
    </cacheField>
    <cacheField name="Clicks" numFmtId="0">
      <sharedItems containsSemiMixedTypes="0" containsString="0" containsNumber="1" containsInteger="1" minValue="1003" maxValue="14994"/>
    </cacheField>
    <cacheField name="Impressions" numFmtId="0">
      <sharedItems containsSemiMixedTypes="0" containsString="0" containsNumber="1" containsInteger="1" minValue="20081" maxValue="119988"/>
    </cacheField>
    <cacheField name="Engagement_Score" numFmtId="0">
      <sharedItems containsSemiMixedTypes="0" containsString="0" containsNumber="1" containsInteger="1" minValue="50" maxValue="100"/>
    </cacheField>
    <cacheField name="Date" numFmtId="0">
      <sharedItems containsSemiMixedTypes="0" containsNonDate="0" containsDate="1" containsString="0" minDate="2024-01-01T00:00:00" maxDate="2024-12-29T00:00:00" count="319">
        <d v="2024-01-01T00:00:00"/>
        <d v="2024-01-15T00:00:00"/>
        <d v="2024-02-01T00:00:00"/>
        <d v="2024-02-20T00:00:00"/>
        <d v="2024-03-01T00:00:00"/>
        <d v="2024-07-19T00:00:00"/>
        <d v="2024-03-27T00:00:00"/>
        <d v="2024-04-17T00:00:00"/>
        <d v="2024-01-13T00:00:00"/>
        <d v="2024-12-02T00:00:00"/>
        <d v="2024-11-01T00:00:00"/>
        <d v="2024-08-09T00:00:00"/>
        <d v="2024-05-19T00:00:00"/>
        <d v="2024-09-17T00:00:00"/>
        <d v="2024-10-15T00:00:00"/>
        <d v="2024-01-14T00:00:00"/>
        <d v="2024-12-09T00:00:00"/>
        <d v="2024-08-27T00:00:00"/>
        <d v="2024-10-11T00:00:00"/>
        <d v="2024-10-18T00:00:00"/>
        <d v="2024-02-02T00:00:00"/>
        <d v="2024-09-14T00:00:00"/>
        <d v="2024-11-09T00:00:00"/>
        <d v="2024-01-20T00:00:00"/>
        <d v="2024-02-12T00:00:00"/>
        <d v="2024-01-02T00:00:00"/>
        <d v="2024-11-06T00:00:00"/>
        <d v="2024-04-18T00:00:00"/>
        <d v="2024-10-13T00:00:00"/>
        <d v="2024-02-17T00:00:00"/>
        <d v="2024-10-27T00:00:00"/>
        <d v="2024-02-28T00:00:00"/>
        <d v="2024-01-17T00:00:00"/>
        <d v="2024-12-01T00:00:00"/>
        <d v="2024-10-06T00:00:00"/>
        <d v="2024-03-15T00:00:00"/>
        <d v="2024-12-08T00:00:00"/>
        <d v="2024-08-15T00:00:00"/>
        <d v="2024-05-21T00:00:00"/>
        <d v="2024-07-22T00:00:00"/>
        <d v="2024-09-10T00:00:00"/>
        <d v="2024-12-06T00:00:00"/>
        <d v="2024-05-26T00:00:00"/>
        <d v="2024-08-22T00:00:00"/>
        <d v="2024-01-19T00:00:00"/>
        <d v="2024-04-03T00:00:00"/>
        <d v="2024-12-28T00:00:00"/>
        <d v="2024-01-05T00:00:00"/>
        <d v="2024-01-11T00:00:00"/>
        <d v="2024-02-04T00:00:00"/>
        <d v="2024-03-08T00:00:00"/>
        <d v="2024-09-22T00:00:00"/>
        <d v="2024-02-03T00:00:00"/>
        <d v="2024-02-05T00:00:00"/>
        <d v="2024-09-05T00:00:00"/>
        <d v="2024-09-25T00:00:00"/>
        <d v="2024-07-23T00:00:00"/>
        <d v="2024-05-11T00:00:00"/>
        <d v="2024-11-11T00:00:00"/>
        <d v="2024-08-28T00:00:00"/>
        <d v="2024-04-05T00:00:00"/>
        <d v="2024-11-18T00:00:00"/>
        <d v="2024-07-05T00:00:00"/>
        <d v="2024-07-12T00:00:00"/>
        <d v="2024-06-09T00:00:00"/>
        <d v="2024-07-11T00:00:00"/>
        <d v="2024-10-03T00:00:00"/>
        <d v="2024-07-16T00:00:00"/>
        <d v="2024-12-04T00:00:00"/>
        <d v="2024-07-09T00:00:00"/>
        <d v="2024-04-10T00:00:00"/>
        <d v="2024-12-17T00:00:00"/>
        <d v="2024-10-12T00:00:00"/>
        <d v="2024-06-22T00:00:00"/>
        <d v="2024-12-22T00:00:00"/>
        <d v="2024-01-28T00:00:00"/>
        <d v="2024-08-17T00:00:00"/>
        <d v="2024-05-10T00:00:00"/>
        <d v="2024-04-27T00:00:00"/>
        <d v="2024-10-28T00:00:00"/>
        <d v="2024-08-13T00:00:00"/>
        <d v="2024-06-08T00:00:00"/>
        <d v="2024-05-13T00:00:00"/>
        <d v="2024-11-05T00:00:00"/>
        <d v="2024-02-27T00:00:00"/>
        <d v="2024-03-10T00:00:00"/>
        <d v="2024-11-16T00:00:00"/>
        <d v="2024-10-14T00:00:00"/>
        <d v="2024-08-11T00:00:00"/>
        <d v="2024-10-24T00:00:00"/>
        <d v="2024-01-26T00:00:00"/>
        <d v="2024-05-12T00:00:00"/>
        <d v="2024-07-01T00:00:00"/>
        <d v="2024-05-07T00:00:00"/>
        <d v="2024-04-21T00:00:00"/>
        <d v="2024-03-21T00:00:00"/>
        <d v="2024-07-04T00:00:00"/>
        <d v="2024-05-02T00:00:00"/>
        <d v="2024-05-16T00:00:00"/>
        <d v="2024-11-26T00:00:00"/>
        <d v="2024-10-26T00:00:00"/>
        <d v="2024-11-03T00:00:00"/>
        <d v="2024-01-22T00:00:00"/>
        <d v="2024-02-10T00:00:00"/>
        <d v="2024-10-05T00:00:00"/>
        <d v="2024-06-07T00:00:00"/>
        <d v="2024-04-22T00:00:00"/>
        <d v="2024-06-03T00:00:00"/>
        <d v="2024-08-02T00:00:00"/>
        <d v="2024-08-05T00:00:00"/>
        <d v="2024-11-08T00:00:00"/>
        <d v="2024-03-25T00:00:00"/>
        <d v="2024-07-06T00:00:00"/>
        <d v="2024-04-09T00:00:00"/>
        <d v="2024-08-06T00:00:00"/>
        <d v="2024-01-07T00:00:00"/>
        <d v="2024-08-12T00:00:00"/>
        <d v="2024-05-14T00:00:00"/>
        <d v="2024-04-19T00:00:00"/>
        <d v="2024-10-20T00:00:00"/>
        <d v="2024-08-18T00:00:00"/>
        <d v="2024-10-16T00:00:00"/>
        <d v="2024-11-15T00:00:00"/>
        <d v="2024-04-26T00:00:00"/>
        <d v="2024-06-06T00:00:00"/>
        <d v="2024-07-07T00:00:00"/>
        <d v="2024-01-23T00:00:00"/>
        <d v="2024-04-28T00:00:00"/>
        <d v="2024-11-19T00:00:00"/>
        <d v="2024-03-11T00:00:00"/>
        <d v="2024-08-26T00:00:00"/>
        <d v="2024-05-18T00:00:00"/>
        <d v="2024-07-02T00:00:00"/>
        <d v="2024-06-17T00:00:00"/>
        <d v="2024-10-10T00:00:00"/>
        <d v="2024-09-20T00:00:00"/>
        <d v="2024-06-25T00:00:00"/>
        <d v="2024-05-04T00:00:00"/>
        <d v="2024-12-13T00:00:00"/>
        <d v="2024-09-09T00:00:00"/>
        <d v="2024-10-17T00:00:00"/>
        <d v="2024-11-24T00:00:00"/>
        <d v="2024-08-23T00:00:00"/>
        <d v="2024-02-14T00:00:00"/>
        <d v="2024-03-17T00:00:00"/>
        <d v="2024-11-10T00:00:00"/>
        <d v="2024-04-04T00:00:00"/>
        <d v="2024-02-25T00:00:00"/>
        <d v="2024-06-23T00:00:00"/>
        <d v="2024-07-21T00:00:00"/>
        <d v="2024-03-02T00:00:00"/>
        <d v="2024-07-03T00:00:00"/>
        <d v="2024-08-25T00:00:00"/>
        <d v="2024-02-19T00:00:00"/>
        <d v="2024-09-18T00:00:00"/>
        <d v="2024-09-27T00:00:00"/>
        <d v="2024-10-01T00:00:00"/>
        <d v="2024-12-18T00:00:00"/>
        <d v="2024-07-08T00:00:00"/>
        <d v="2024-09-15T00:00:00"/>
        <d v="2024-09-19T00:00:00"/>
        <d v="2024-06-05T00:00:00"/>
        <d v="2024-07-18T00:00:00"/>
        <d v="2024-06-28T00:00:00"/>
        <d v="2024-06-19T00:00:00"/>
        <d v="2024-08-21T00:00:00"/>
        <d v="2024-01-25T00:00:00"/>
        <d v="2024-12-07T00:00:00"/>
        <d v="2024-12-23T00:00:00"/>
        <d v="2024-10-21T00:00:00"/>
        <d v="2024-02-26T00:00:00"/>
        <d v="2024-04-23T00:00:00"/>
        <d v="2024-01-24T00:00:00"/>
        <d v="2024-08-24T00:00:00"/>
        <d v="2024-12-27T00:00:00"/>
        <d v="2024-07-17T00:00:00"/>
        <d v="2024-04-14T00:00:00"/>
        <d v="2024-08-16T00:00:00"/>
        <d v="2024-05-24T00:00:00"/>
        <d v="2024-11-23T00:00:00"/>
        <d v="2024-02-23T00:00:00"/>
        <d v="2024-05-25T00:00:00"/>
        <d v="2024-01-27T00:00:00"/>
        <d v="2024-05-01T00:00:00"/>
        <d v="2024-02-09T00:00:00"/>
        <d v="2024-05-15T00:00:00"/>
        <d v="2024-02-16T00:00:00"/>
        <d v="2024-09-01T00:00:00"/>
        <d v="2024-06-02T00:00:00"/>
        <d v="2024-09-06T00:00:00"/>
        <d v="2024-09-24T00:00:00"/>
        <d v="2024-05-22T00:00:00"/>
        <d v="2024-11-07T00:00:00"/>
        <d v="2024-11-27T00:00:00"/>
        <d v="2024-06-12T00:00:00"/>
        <d v="2024-02-24T00:00:00"/>
        <d v="2024-02-11T00:00:00"/>
        <d v="2024-06-11T00:00:00"/>
        <d v="2024-02-13T00:00:00"/>
        <d v="2024-06-21T00:00:00"/>
        <d v="2024-11-21T00:00:00"/>
        <d v="2024-04-02T00:00:00"/>
        <d v="2024-03-16T00:00:00"/>
        <d v="2024-07-14T00:00:00"/>
        <d v="2024-03-09T00:00:00"/>
        <d v="2024-04-11T00:00:00"/>
        <d v="2024-09-12T00:00:00"/>
        <d v="2024-03-13T00:00:00"/>
        <d v="2024-12-19T00:00:00"/>
        <d v="2024-02-06T00:00:00"/>
        <d v="2024-12-20T00:00:00"/>
        <d v="2024-02-07T00:00:00"/>
        <d v="2024-05-17T00:00:00"/>
        <d v="2024-09-07T00:00:00"/>
        <d v="2024-04-01T00:00:00"/>
        <d v="2024-03-05T00:00:00"/>
        <d v="2024-03-14T00:00:00"/>
        <d v="2024-08-01T00:00:00"/>
        <d v="2024-09-21T00:00:00"/>
        <d v="2024-01-03T00:00:00"/>
        <d v="2024-08-14T00:00:00"/>
        <d v="2024-09-11T00:00:00"/>
        <d v="2024-09-16T00:00:00"/>
        <d v="2024-10-22T00:00:00"/>
        <d v="2024-03-07T00:00:00"/>
        <d v="2024-03-12T00:00:00"/>
        <d v="2024-10-23T00:00:00"/>
        <d v="2024-09-04T00:00:00"/>
        <d v="2024-02-21T00:00:00"/>
        <d v="2024-08-20T00:00:00"/>
        <d v="2024-01-21T00:00:00"/>
        <d v="2024-01-08T00:00:00"/>
        <d v="2024-03-22T00:00:00"/>
        <d v="2024-07-26T00:00:00"/>
        <d v="2024-10-04T00:00:00"/>
        <d v="2024-12-11T00:00:00"/>
        <d v="2024-12-03T00:00:00"/>
        <d v="2024-10-19T00:00:00"/>
        <d v="2024-11-22T00:00:00"/>
        <d v="2024-06-01T00:00:00"/>
        <d v="2024-01-04T00:00:00"/>
        <d v="2024-07-13T00:00:00"/>
        <d v="2024-11-28T00:00:00"/>
        <d v="2024-04-24T00:00:00"/>
        <d v="2024-05-06T00:00:00"/>
        <d v="2024-10-25T00:00:00"/>
        <d v="2024-01-18T00:00:00"/>
        <d v="2024-06-13T00:00:00"/>
        <d v="2024-09-08T00:00:00"/>
        <d v="2024-06-16T00:00:00"/>
        <d v="2024-11-20T00:00:00"/>
        <d v="2024-06-10T00:00:00"/>
        <d v="2024-02-15T00:00:00"/>
        <d v="2024-12-16T00:00:00"/>
        <d v="2024-09-28T00:00:00"/>
        <d v="2024-06-27T00:00:00"/>
        <d v="2024-03-19T00:00:00"/>
        <d v="2024-12-15T00:00:00"/>
        <d v="2024-11-17T00:00:00"/>
        <d v="2024-12-10T00:00:00"/>
        <d v="2024-07-10T00:00:00"/>
        <d v="2024-05-03T00:00:00"/>
        <d v="2024-01-16T00:00:00"/>
        <d v="2024-04-20T00:00:00"/>
        <d v="2024-04-07T00:00:00"/>
        <d v="2024-08-10T00:00:00"/>
        <d v="2024-07-15T00:00:00"/>
        <d v="2024-10-08T00:00:00"/>
        <d v="2024-08-07T00:00:00"/>
        <d v="2024-09-13T00:00:00"/>
        <d v="2024-11-12T00:00:00"/>
        <d v="2024-02-18T00:00:00"/>
        <d v="2024-08-03T00:00:00"/>
        <d v="2024-11-25T00:00:00"/>
        <d v="2024-06-26T00:00:00"/>
        <d v="2024-06-04T00:00:00"/>
        <d v="2024-03-04T00:00:00"/>
        <d v="2024-12-12T00:00:00"/>
        <d v="2024-04-13T00:00:00"/>
        <d v="2024-05-28T00:00:00"/>
        <d v="2024-01-10T00:00:00"/>
        <d v="2024-04-12T00:00:00"/>
        <d v="2024-12-26T00:00:00"/>
        <d v="2024-09-23T00:00:00"/>
        <d v="2024-06-14T00:00:00"/>
        <d v="2024-04-25T00:00:00"/>
        <d v="2024-03-23T00:00:00"/>
        <d v="2024-05-09T00:00:00"/>
        <d v="2024-05-23T00:00:00"/>
        <d v="2024-03-06T00:00:00"/>
        <d v="2024-02-22T00:00:00"/>
        <d v="2024-04-16T00:00:00"/>
        <d v="2024-03-24T00:00:00"/>
        <d v="2024-07-24T00:00:00"/>
        <d v="2024-03-20T00:00:00"/>
        <d v="2024-01-06T00:00:00"/>
        <d v="2024-04-15T00:00:00"/>
        <d v="2024-03-28T00:00:00"/>
        <d v="2024-09-02T00:00:00"/>
        <d v="2024-04-06T00:00:00"/>
        <d v="2024-12-25T00:00:00"/>
        <d v="2024-01-09T00:00:00"/>
        <d v="2024-07-20T00:00:00"/>
        <d v="2024-08-04T00:00:00"/>
        <d v="2024-06-24T00:00:00"/>
        <d v="2024-01-12T00:00:00"/>
        <d v="2024-07-28T00:00:00"/>
        <d v="2024-09-03T00:00:00"/>
        <d v="2024-11-02T00:00:00"/>
        <d v="2024-12-05T00:00:00"/>
        <d v="2024-02-08T00:00:00"/>
        <d v="2024-06-15T00:00:00"/>
        <d v="2024-04-08T00:00:00"/>
        <d v="2024-10-09T00:00:00"/>
        <d v="2024-11-04T00:00:00"/>
        <d v="2024-06-20T00:00:00"/>
        <d v="2024-03-03T00:00:00"/>
        <d v="2024-07-27T00:00:00"/>
        <d v="2024-08-08T00:00:00"/>
      </sharedItems>
      <fieldGroup par="18"/>
    </cacheField>
    <cacheField name="Age_group" numFmtId="0">
      <sharedItems count="4">
        <s v="25-34"/>
        <s v="18-24"/>
        <s v="35-44"/>
        <s v="45-54"/>
      </sharedItems>
    </cacheField>
    <cacheField name="Gender_cateogry" numFmtId="0">
      <sharedItems count="3">
        <s v="Mixed"/>
        <s v="Female"/>
        <s v="Male"/>
      </sharedItems>
    </cacheField>
    <cacheField name="Days (Date)" numFmtId="0" databaseField="0">
      <fieldGroup base="14">
        <rangePr groupBy="days" startDate="2024-01-01T00:00:00" endDate="2024-12-29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4"/>
        </groupItems>
      </fieldGroup>
    </cacheField>
    <cacheField name="Months (Date)" numFmtId="0" databaseField="0">
      <fieldGroup base="14">
        <rangePr groupBy="months" startDate="2024-01-01T00:00:00" endDate="2024-12-29T00:00:00"/>
        <groupItems count="14">
          <s v="&lt;1/1/2024"/>
          <s v="Jan"/>
          <s v="Feb"/>
          <s v="Mar"/>
          <s v="Apr"/>
          <s v="May"/>
          <s v="Jun"/>
          <s v="Jul"/>
          <s v="Aug"/>
          <s v="Sep"/>
          <s v="Oct"/>
          <s v="Nov"/>
          <s v="Dec"/>
          <s v="&gt;12/29/2024"/>
        </groupItems>
      </fieldGroup>
    </cacheField>
    <cacheField name="CTR" numFmtId="0" formula="(Clicks/Impressions)*100" databaseField="0"/>
  </cacheFields>
  <extLst>
    <ext xmlns:x14="http://schemas.microsoft.com/office/spreadsheetml/2009/9/main" uri="{725AE2AE-9491-48be-B2B4-4EB974FC3084}">
      <x14:pivotCacheDefinition pivotCacheId="8882669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x v="0"/>
    <x v="0"/>
    <x v="0"/>
    <x v="0"/>
    <n v="30"/>
    <n v="5.5"/>
    <n v="1000"/>
    <n v="2.5"/>
    <x v="0"/>
    <x v="0"/>
    <n v="5000"/>
    <n v="50000"/>
    <n v="70"/>
    <x v="0"/>
    <x v="0"/>
    <x v="0"/>
  </r>
  <r>
    <n v="2"/>
    <x v="1"/>
    <x v="0"/>
    <x v="0"/>
    <x v="1"/>
    <n v="45"/>
    <n v="8.1999999999999993"/>
    <n v="1500"/>
    <n v="3"/>
    <x v="1"/>
    <x v="0"/>
    <n v="8000"/>
    <n v="75000"/>
    <n v="85"/>
    <x v="1"/>
    <x v="1"/>
    <x v="1"/>
  </r>
  <r>
    <n v="3"/>
    <x v="2"/>
    <x v="1"/>
    <x v="1"/>
    <x v="2"/>
    <n v="15"/>
    <n v="3.1"/>
    <n v="2000"/>
    <n v="1.5"/>
    <x v="2"/>
    <x v="0"/>
    <n v="3000"/>
    <n v="25000"/>
    <n v="60"/>
    <x v="2"/>
    <x v="2"/>
    <x v="2"/>
  </r>
  <r>
    <n v="4"/>
    <x v="3"/>
    <x v="2"/>
    <x v="1"/>
    <x v="0"/>
    <n v="60"/>
    <n v="10"/>
    <n v="2500"/>
    <n v="4"/>
    <x v="3"/>
    <x v="1"/>
    <n v="12000"/>
    <n v="100000"/>
    <n v="90"/>
    <x v="3"/>
    <x v="0"/>
    <x v="0"/>
  </r>
  <r>
    <n v="5"/>
    <x v="4"/>
    <x v="0"/>
    <x v="1"/>
    <x v="0"/>
    <n v="20"/>
    <n v="6.7"/>
    <n v="1200"/>
    <n v="2.8"/>
    <x v="4"/>
    <x v="2"/>
    <n v="7000"/>
    <n v="60000"/>
    <n v="75"/>
    <x v="4"/>
    <x v="1"/>
    <x v="1"/>
  </r>
  <r>
    <n v="6"/>
    <x v="5"/>
    <x v="2"/>
    <x v="2"/>
    <x v="3"/>
    <n v="31"/>
    <n v="9.9"/>
    <n v="2522"/>
    <n v="3.9"/>
    <x v="3"/>
    <x v="3"/>
    <n v="6174"/>
    <n v="99266"/>
    <n v="83"/>
    <x v="5"/>
    <x v="1"/>
    <x v="0"/>
  </r>
  <r>
    <n v="7"/>
    <x v="6"/>
    <x v="0"/>
    <x v="3"/>
    <x v="4"/>
    <n v="46"/>
    <n v="10.6"/>
    <n v="2366"/>
    <n v="3.2"/>
    <x v="2"/>
    <x v="3"/>
    <n v="11141"/>
    <n v="99896"/>
    <n v="87"/>
    <x v="6"/>
    <x v="0"/>
    <x v="2"/>
  </r>
  <r>
    <n v="8"/>
    <x v="6"/>
    <x v="3"/>
    <x v="0"/>
    <x v="2"/>
    <n v="63"/>
    <n v="10"/>
    <n v="2215"/>
    <n v="3.8"/>
    <x v="3"/>
    <x v="3"/>
    <n v="9738"/>
    <n v="66663"/>
    <n v="60"/>
    <x v="7"/>
    <x v="1"/>
    <x v="2"/>
  </r>
  <r>
    <n v="9"/>
    <x v="7"/>
    <x v="4"/>
    <x v="4"/>
    <x v="4"/>
    <n v="16"/>
    <n v="10.8"/>
    <n v="2390"/>
    <n v="2.4"/>
    <x v="5"/>
    <x v="0"/>
    <n v="6232"/>
    <n v="78465"/>
    <n v="98"/>
    <x v="8"/>
    <x v="3"/>
    <x v="1"/>
  </r>
  <r>
    <n v="10"/>
    <x v="5"/>
    <x v="0"/>
    <x v="2"/>
    <x v="4"/>
    <n v="76"/>
    <n v="3.9"/>
    <n v="2667"/>
    <n v="2.8"/>
    <x v="0"/>
    <x v="1"/>
    <n v="9875"/>
    <n v="116931"/>
    <n v="89"/>
    <x v="9"/>
    <x v="1"/>
    <x v="0"/>
  </r>
  <r>
    <n v="11"/>
    <x v="8"/>
    <x v="2"/>
    <x v="5"/>
    <x v="4"/>
    <n v="72"/>
    <n v="4.7"/>
    <n v="2722"/>
    <n v="3.3"/>
    <x v="6"/>
    <x v="0"/>
    <n v="14535"/>
    <n v="69782"/>
    <n v="68"/>
    <x v="10"/>
    <x v="2"/>
    <x v="1"/>
  </r>
  <r>
    <n v="12"/>
    <x v="9"/>
    <x v="1"/>
    <x v="0"/>
    <x v="3"/>
    <n v="90"/>
    <n v="8.6999999999999993"/>
    <n v="1567"/>
    <n v="3.8"/>
    <x v="4"/>
    <x v="0"/>
    <n v="8683"/>
    <n v="82948"/>
    <n v="85"/>
    <x v="11"/>
    <x v="0"/>
    <x v="0"/>
  </r>
  <r>
    <n v="13"/>
    <x v="6"/>
    <x v="4"/>
    <x v="4"/>
    <x v="4"/>
    <n v="67"/>
    <n v="8"/>
    <n v="1270"/>
    <n v="1.9"/>
    <x v="3"/>
    <x v="3"/>
    <n v="14877"/>
    <n v="51446"/>
    <n v="90"/>
    <x v="12"/>
    <x v="2"/>
    <x v="1"/>
  </r>
  <r>
    <n v="14"/>
    <x v="9"/>
    <x v="0"/>
    <x v="2"/>
    <x v="0"/>
    <n v="67"/>
    <n v="7.4"/>
    <n v="2074"/>
    <n v="4.3"/>
    <x v="7"/>
    <x v="2"/>
    <n v="12771"/>
    <n v="84560"/>
    <n v="51"/>
    <x v="13"/>
    <x v="0"/>
    <x v="1"/>
  </r>
  <r>
    <n v="15"/>
    <x v="9"/>
    <x v="2"/>
    <x v="3"/>
    <x v="2"/>
    <n v="35"/>
    <n v="11.4"/>
    <n v="1162"/>
    <n v="4.5"/>
    <x v="4"/>
    <x v="4"/>
    <n v="13310"/>
    <n v="20811"/>
    <n v="87"/>
    <x v="14"/>
    <x v="3"/>
    <x v="1"/>
  </r>
  <r>
    <n v="16"/>
    <x v="9"/>
    <x v="4"/>
    <x v="1"/>
    <x v="0"/>
    <n v="25"/>
    <n v="9.8000000000000007"/>
    <n v="1565"/>
    <n v="4.5999999999999996"/>
    <x v="7"/>
    <x v="4"/>
    <n v="1762"/>
    <n v="79325"/>
    <n v="63"/>
    <x v="3"/>
    <x v="2"/>
    <x v="0"/>
  </r>
  <r>
    <n v="17"/>
    <x v="6"/>
    <x v="2"/>
    <x v="3"/>
    <x v="1"/>
    <n v="41"/>
    <n v="8.1"/>
    <n v="2417"/>
    <n v="1.7"/>
    <x v="7"/>
    <x v="4"/>
    <n v="2203"/>
    <n v="87353"/>
    <n v="99"/>
    <x v="15"/>
    <x v="2"/>
    <x v="0"/>
  </r>
  <r>
    <n v="18"/>
    <x v="7"/>
    <x v="1"/>
    <x v="2"/>
    <x v="0"/>
    <n v="11"/>
    <n v="4"/>
    <n v="982"/>
    <n v="2.6"/>
    <x v="4"/>
    <x v="4"/>
    <n v="6850"/>
    <n v="81953"/>
    <n v="62"/>
    <x v="16"/>
    <x v="3"/>
    <x v="0"/>
  </r>
  <r>
    <n v="19"/>
    <x v="5"/>
    <x v="4"/>
    <x v="0"/>
    <x v="3"/>
    <n v="49"/>
    <n v="8.6999999999999993"/>
    <n v="2120"/>
    <n v="2.5"/>
    <x v="7"/>
    <x v="3"/>
    <n v="13980"/>
    <n v="62736"/>
    <n v="59"/>
    <x v="17"/>
    <x v="2"/>
    <x v="2"/>
  </r>
  <r>
    <n v="20"/>
    <x v="7"/>
    <x v="1"/>
    <x v="0"/>
    <x v="4"/>
    <n v="46"/>
    <n v="5.7"/>
    <n v="1481"/>
    <n v="1.8"/>
    <x v="4"/>
    <x v="0"/>
    <n v="2188"/>
    <n v="47422"/>
    <n v="87"/>
    <x v="18"/>
    <x v="0"/>
    <x v="2"/>
  </r>
  <r>
    <n v="21"/>
    <x v="8"/>
    <x v="3"/>
    <x v="5"/>
    <x v="2"/>
    <n v="81"/>
    <n v="11.1"/>
    <n v="1741"/>
    <n v="4.2"/>
    <x v="5"/>
    <x v="1"/>
    <n v="4803"/>
    <n v="24682"/>
    <n v="56"/>
    <x v="18"/>
    <x v="0"/>
    <x v="1"/>
  </r>
  <r>
    <n v="22"/>
    <x v="6"/>
    <x v="1"/>
    <x v="4"/>
    <x v="3"/>
    <n v="79"/>
    <n v="3.5"/>
    <n v="1778"/>
    <n v="1.5"/>
    <x v="6"/>
    <x v="4"/>
    <n v="5409"/>
    <n v="39415"/>
    <n v="87"/>
    <x v="19"/>
    <x v="1"/>
    <x v="0"/>
  </r>
  <r>
    <n v="23"/>
    <x v="5"/>
    <x v="4"/>
    <x v="1"/>
    <x v="0"/>
    <n v="68"/>
    <n v="10.6"/>
    <n v="987"/>
    <n v="2.6"/>
    <x v="6"/>
    <x v="3"/>
    <n v="6447"/>
    <n v="112814"/>
    <n v="74"/>
    <x v="20"/>
    <x v="0"/>
    <x v="2"/>
  </r>
  <r>
    <n v="24"/>
    <x v="6"/>
    <x v="0"/>
    <x v="4"/>
    <x v="0"/>
    <n v="42"/>
    <n v="3.2"/>
    <n v="2004"/>
    <n v="4.3"/>
    <x v="1"/>
    <x v="4"/>
    <n v="2930"/>
    <n v="26548"/>
    <n v="61"/>
    <x v="21"/>
    <x v="2"/>
    <x v="2"/>
  </r>
  <r>
    <n v="25"/>
    <x v="7"/>
    <x v="4"/>
    <x v="1"/>
    <x v="1"/>
    <n v="63"/>
    <n v="3.9"/>
    <n v="1185"/>
    <n v="4"/>
    <x v="6"/>
    <x v="0"/>
    <n v="5941"/>
    <n v="50576"/>
    <n v="82"/>
    <x v="22"/>
    <x v="0"/>
    <x v="0"/>
  </r>
  <r>
    <n v="26"/>
    <x v="9"/>
    <x v="3"/>
    <x v="2"/>
    <x v="0"/>
    <n v="86"/>
    <n v="7"/>
    <n v="1344"/>
    <n v="3.9"/>
    <x v="5"/>
    <x v="2"/>
    <n v="11964"/>
    <n v="33567"/>
    <n v="76"/>
    <x v="23"/>
    <x v="3"/>
    <x v="2"/>
  </r>
  <r>
    <n v="27"/>
    <x v="5"/>
    <x v="0"/>
    <x v="4"/>
    <x v="1"/>
    <n v="35"/>
    <n v="3.9"/>
    <n v="1204"/>
    <n v="3.6"/>
    <x v="3"/>
    <x v="0"/>
    <n v="10218"/>
    <n v="77358"/>
    <n v="68"/>
    <x v="24"/>
    <x v="2"/>
    <x v="0"/>
  </r>
  <r>
    <n v="28"/>
    <x v="8"/>
    <x v="0"/>
    <x v="1"/>
    <x v="3"/>
    <n v="53"/>
    <n v="5.8"/>
    <n v="2480"/>
    <n v="2.2000000000000002"/>
    <x v="6"/>
    <x v="1"/>
    <n v="7739"/>
    <n v="70785"/>
    <n v="93"/>
    <x v="25"/>
    <x v="3"/>
    <x v="0"/>
  </r>
  <r>
    <n v="29"/>
    <x v="9"/>
    <x v="1"/>
    <x v="5"/>
    <x v="4"/>
    <n v="44"/>
    <n v="7.9"/>
    <n v="937"/>
    <n v="1.9"/>
    <x v="5"/>
    <x v="2"/>
    <n v="13405"/>
    <n v="60123"/>
    <n v="61"/>
    <x v="26"/>
    <x v="3"/>
    <x v="0"/>
  </r>
  <r>
    <n v="30"/>
    <x v="8"/>
    <x v="4"/>
    <x v="5"/>
    <x v="4"/>
    <n v="74"/>
    <n v="8.4"/>
    <n v="1831"/>
    <n v="2.1"/>
    <x v="3"/>
    <x v="1"/>
    <n v="13860"/>
    <n v="96707"/>
    <n v="68"/>
    <x v="16"/>
    <x v="3"/>
    <x v="0"/>
  </r>
  <r>
    <n v="31"/>
    <x v="6"/>
    <x v="3"/>
    <x v="2"/>
    <x v="4"/>
    <n v="34"/>
    <n v="9.6"/>
    <n v="1443"/>
    <n v="3.4"/>
    <x v="5"/>
    <x v="4"/>
    <n v="1241"/>
    <n v="70526"/>
    <n v="72"/>
    <x v="27"/>
    <x v="0"/>
    <x v="1"/>
  </r>
  <r>
    <n v="32"/>
    <x v="8"/>
    <x v="1"/>
    <x v="1"/>
    <x v="3"/>
    <n v="33"/>
    <n v="7.8"/>
    <n v="2617"/>
    <n v="4.5999999999999996"/>
    <x v="3"/>
    <x v="0"/>
    <n v="9119"/>
    <n v="112379"/>
    <n v="60"/>
    <x v="28"/>
    <x v="1"/>
    <x v="2"/>
  </r>
  <r>
    <n v="33"/>
    <x v="5"/>
    <x v="2"/>
    <x v="5"/>
    <x v="3"/>
    <n v="29"/>
    <n v="7.5"/>
    <n v="1286"/>
    <n v="3.7"/>
    <x v="0"/>
    <x v="2"/>
    <n v="8396"/>
    <n v="68693"/>
    <n v="69"/>
    <x v="29"/>
    <x v="3"/>
    <x v="2"/>
  </r>
  <r>
    <n v="34"/>
    <x v="9"/>
    <x v="1"/>
    <x v="0"/>
    <x v="0"/>
    <n v="47"/>
    <n v="5.6"/>
    <n v="2583"/>
    <n v="2.1"/>
    <x v="4"/>
    <x v="3"/>
    <n v="14430"/>
    <n v="50667"/>
    <n v="87"/>
    <x v="30"/>
    <x v="0"/>
    <x v="1"/>
  </r>
  <r>
    <n v="35"/>
    <x v="6"/>
    <x v="1"/>
    <x v="1"/>
    <x v="1"/>
    <n v="23"/>
    <n v="11.4"/>
    <n v="1989"/>
    <n v="4"/>
    <x v="1"/>
    <x v="4"/>
    <n v="5379"/>
    <n v="111880"/>
    <n v="68"/>
    <x v="31"/>
    <x v="0"/>
    <x v="0"/>
  </r>
  <r>
    <n v="36"/>
    <x v="8"/>
    <x v="2"/>
    <x v="2"/>
    <x v="0"/>
    <n v="88"/>
    <n v="10.4"/>
    <n v="2975"/>
    <n v="3.9"/>
    <x v="5"/>
    <x v="3"/>
    <n v="3677"/>
    <n v="107219"/>
    <n v="82"/>
    <x v="32"/>
    <x v="0"/>
    <x v="1"/>
  </r>
  <r>
    <n v="37"/>
    <x v="5"/>
    <x v="2"/>
    <x v="5"/>
    <x v="3"/>
    <n v="13"/>
    <n v="4.2"/>
    <n v="1312"/>
    <n v="2.2999999999999998"/>
    <x v="3"/>
    <x v="0"/>
    <n v="10262"/>
    <n v="45905"/>
    <n v="80"/>
    <x v="33"/>
    <x v="1"/>
    <x v="0"/>
  </r>
  <r>
    <n v="38"/>
    <x v="5"/>
    <x v="1"/>
    <x v="4"/>
    <x v="4"/>
    <n v="83"/>
    <n v="5"/>
    <n v="893"/>
    <n v="3.8"/>
    <x v="0"/>
    <x v="2"/>
    <n v="13523"/>
    <n v="85249"/>
    <n v="95"/>
    <x v="34"/>
    <x v="2"/>
    <x v="2"/>
  </r>
  <r>
    <n v="39"/>
    <x v="7"/>
    <x v="3"/>
    <x v="2"/>
    <x v="4"/>
    <n v="23"/>
    <n v="6.8"/>
    <n v="1708"/>
    <n v="2.5"/>
    <x v="2"/>
    <x v="0"/>
    <n v="14661"/>
    <n v="21203"/>
    <n v="87"/>
    <x v="35"/>
    <x v="1"/>
    <x v="2"/>
  </r>
  <r>
    <n v="40"/>
    <x v="7"/>
    <x v="3"/>
    <x v="0"/>
    <x v="1"/>
    <n v="67"/>
    <n v="4.0999999999999996"/>
    <n v="994"/>
    <n v="3.3"/>
    <x v="0"/>
    <x v="2"/>
    <n v="14404"/>
    <n v="54013"/>
    <n v="88"/>
    <x v="36"/>
    <x v="3"/>
    <x v="0"/>
  </r>
  <r>
    <n v="41"/>
    <x v="5"/>
    <x v="4"/>
    <x v="3"/>
    <x v="3"/>
    <n v="38"/>
    <n v="8.1"/>
    <n v="1240"/>
    <n v="4.5"/>
    <x v="1"/>
    <x v="0"/>
    <n v="11151"/>
    <n v="82269"/>
    <n v="99"/>
    <x v="37"/>
    <x v="3"/>
    <x v="2"/>
  </r>
  <r>
    <n v="42"/>
    <x v="7"/>
    <x v="3"/>
    <x v="5"/>
    <x v="3"/>
    <n v="19"/>
    <n v="11"/>
    <n v="1834"/>
    <n v="3"/>
    <x v="6"/>
    <x v="4"/>
    <n v="7264"/>
    <n v="35099"/>
    <n v="100"/>
    <x v="38"/>
    <x v="1"/>
    <x v="0"/>
  </r>
  <r>
    <n v="43"/>
    <x v="9"/>
    <x v="2"/>
    <x v="2"/>
    <x v="1"/>
    <n v="18"/>
    <n v="4.0999999999999996"/>
    <n v="2444"/>
    <n v="2.4"/>
    <x v="5"/>
    <x v="2"/>
    <n v="7638"/>
    <n v="82172"/>
    <n v="63"/>
    <x v="39"/>
    <x v="0"/>
    <x v="2"/>
  </r>
  <r>
    <n v="44"/>
    <x v="8"/>
    <x v="2"/>
    <x v="2"/>
    <x v="1"/>
    <n v="83"/>
    <n v="7.5"/>
    <n v="2800"/>
    <n v="2.2999999999999998"/>
    <x v="4"/>
    <x v="4"/>
    <n v="3202"/>
    <n v="43044"/>
    <n v="85"/>
    <x v="40"/>
    <x v="1"/>
    <x v="0"/>
  </r>
  <r>
    <n v="45"/>
    <x v="7"/>
    <x v="0"/>
    <x v="0"/>
    <x v="4"/>
    <n v="30"/>
    <n v="5"/>
    <n v="1251"/>
    <n v="5"/>
    <x v="3"/>
    <x v="3"/>
    <n v="9668"/>
    <n v="66210"/>
    <n v="98"/>
    <x v="41"/>
    <x v="1"/>
    <x v="1"/>
  </r>
  <r>
    <n v="46"/>
    <x v="8"/>
    <x v="2"/>
    <x v="0"/>
    <x v="0"/>
    <n v="52"/>
    <n v="3.9"/>
    <n v="2927"/>
    <n v="2.2000000000000002"/>
    <x v="5"/>
    <x v="2"/>
    <n v="3718"/>
    <n v="64304"/>
    <n v="61"/>
    <x v="42"/>
    <x v="0"/>
    <x v="1"/>
  </r>
  <r>
    <n v="47"/>
    <x v="8"/>
    <x v="3"/>
    <x v="1"/>
    <x v="3"/>
    <n v="57"/>
    <n v="8.5"/>
    <n v="2411"/>
    <n v="2.9"/>
    <x v="3"/>
    <x v="4"/>
    <n v="5288"/>
    <n v="109492"/>
    <n v="99"/>
    <x v="36"/>
    <x v="1"/>
    <x v="0"/>
  </r>
  <r>
    <n v="48"/>
    <x v="6"/>
    <x v="4"/>
    <x v="2"/>
    <x v="0"/>
    <n v="28"/>
    <n v="5.0999999999999996"/>
    <n v="1507"/>
    <n v="2.2999999999999998"/>
    <x v="5"/>
    <x v="3"/>
    <n v="12302"/>
    <n v="101295"/>
    <n v="71"/>
    <x v="43"/>
    <x v="0"/>
    <x v="0"/>
  </r>
  <r>
    <n v="49"/>
    <x v="7"/>
    <x v="2"/>
    <x v="4"/>
    <x v="4"/>
    <n v="13"/>
    <n v="6.5"/>
    <n v="2901"/>
    <n v="2.8"/>
    <x v="2"/>
    <x v="0"/>
    <n v="10897"/>
    <n v="32274"/>
    <n v="64"/>
    <x v="44"/>
    <x v="1"/>
    <x v="1"/>
  </r>
  <r>
    <n v="50"/>
    <x v="7"/>
    <x v="4"/>
    <x v="5"/>
    <x v="4"/>
    <n v="19"/>
    <n v="9.8000000000000007"/>
    <n v="1591"/>
    <n v="2.7"/>
    <x v="6"/>
    <x v="2"/>
    <n v="3068"/>
    <n v="92152"/>
    <n v="78"/>
    <x v="45"/>
    <x v="1"/>
    <x v="0"/>
  </r>
  <r>
    <n v="51"/>
    <x v="8"/>
    <x v="3"/>
    <x v="4"/>
    <x v="3"/>
    <n v="55"/>
    <n v="11.6"/>
    <n v="1194"/>
    <n v="1.9"/>
    <x v="5"/>
    <x v="3"/>
    <n v="14246"/>
    <n v="45574"/>
    <n v="79"/>
    <x v="29"/>
    <x v="2"/>
    <x v="0"/>
  </r>
  <r>
    <n v="52"/>
    <x v="9"/>
    <x v="3"/>
    <x v="3"/>
    <x v="3"/>
    <n v="32"/>
    <n v="4.4000000000000004"/>
    <n v="1349"/>
    <n v="3.4"/>
    <x v="0"/>
    <x v="2"/>
    <n v="1230"/>
    <n v="105171"/>
    <n v="52"/>
    <x v="46"/>
    <x v="3"/>
    <x v="2"/>
  </r>
  <r>
    <n v="53"/>
    <x v="6"/>
    <x v="0"/>
    <x v="4"/>
    <x v="4"/>
    <n v="85"/>
    <n v="3.7"/>
    <n v="2137"/>
    <n v="2.6"/>
    <x v="0"/>
    <x v="0"/>
    <n v="12106"/>
    <n v="20195"/>
    <n v="55"/>
    <x v="47"/>
    <x v="2"/>
    <x v="1"/>
  </r>
  <r>
    <n v="54"/>
    <x v="5"/>
    <x v="2"/>
    <x v="1"/>
    <x v="2"/>
    <n v="30"/>
    <n v="11.9"/>
    <n v="1859"/>
    <n v="4.2"/>
    <x v="4"/>
    <x v="0"/>
    <n v="13863"/>
    <n v="39427"/>
    <n v="63"/>
    <x v="48"/>
    <x v="1"/>
    <x v="0"/>
  </r>
  <r>
    <n v="55"/>
    <x v="7"/>
    <x v="4"/>
    <x v="1"/>
    <x v="3"/>
    <n v="33"/>
    <n v="11.9"/>
    <n v="2058"/>
    <n v="2.9"/>
    <x v="0"/>
    <x v="4"/>
    <n v="5463"/>
    <n v="26826"/>
    <n v="90"/>
    <x v="49"/>
    <x v="0"/>
    <x v="0"/>
  </r>
  <r>
    <n v="56"/>
    <x v="9"/>
    <x v="2"/>
    <x v="3"/>
    <x v="0"/>
    <n v="71"/>
    <n v="6.7"/>
    <n v="868"/>
    <n v="2.7"/>
    <x v="7"/>
    <x v="3"/>
    <n v="3970"/>
    <n v="28154"/>
    <n v="88"/>
    <x v="26"/>
    <x v="2"/>
    <x v="2"/>
  </r>
  <r>
    <n v="57"/>
    <x v="8"/>
    <x v="0"/>
    <x v="3"/>
    <x v="3"/>
    <n v="58"/>
    <n v="8.6"/>
    <n v="2298"/>
    <n v="4.3"/>
    <x v="0"/>
    <x v="1"/>
    <n v="3442"/>
    <n v="103045"/>
    <n v="75"/>
    <x v="50"/>
    <x v="3"/>
    <x v="2"/>
  </r>
  <r>
    <n v="58"/>
    <x v="8"/>
    <x v="0"/>
    <x v="5"/>
    <x v="1"/>
    <n v="29"/>
    <n v="9.1999999999999993"/>
    <n v="2727"/>
    <n v="3"/>
    <x v="1"/>
    <x v="2"/>
    <n v="4305"/>
    <n v="41174"/>
    <n v="75"/>
    <x v="51"/>
    <x v="1"/>
    <x v="2"/>
  </r>
  <r>
    <n v="59"/>
    <x v="6"/>
    <x v="0"/>
    <x v="5"/>
    <x v="3"/>
    <n v="51"/>
    <n v="3.6"/>
    <n v="1176"/>
    <n v="1.6"/>
    <x v="2"/>
    <x v="3"/>
    <n v="9907"/>
    <n v="118019"/>
    <n v="93"/>
    <x v="52"/>
    <x v="3"/>
    <x v="0"/>
  </r>
  <r>
    <n v="60"/>
    <x v="9"/>
    <x v="2"/>
    <x v="5"/>
    <x v="0"/>
    <n v="45"/>
    <n v="4.4000000000000004"/>
    <n v="1213"/>
    <n v="3.5"/>
    <x v="1"/>
    <x v="2"/>
    <n v="9722"/>
    <n v="56675"/>
    <n v="58"/>
    <x v="53"/>
    <x v="1"/>
    <x v="1"/>
  </r>
  <r>
    <n v="61"/>
    <x v="9"/>
    <x v="0"/>
    <x v="5"/>
    <x v="1"/>
    <n v="85"/>
    <n v="5.4"/>
    <n v="893"/>
    <n v="1.6"/>
    <x v="5"/>
    <x v="1"/>
    <n v="13140"/>
    <n v="27174"/>
    <n v="53"/>
    <x v="54"/>
    <x v="2"/>
    <x v="2"/>
  </r>
  <r>
    <n v="62"/>
    <x v="7"/>
    <x v="0"/>
    <x v="5"/>
    <x v="4"/>
    <n v="30"/>
    <n v="9.1999999999999993"/>
    <n v="976"/>
    <n v="1.9"/>
    <x v="7"/>
    <x v="1"/>
    <n v="12259"/>
    <n v="89226"/>
    <n v="63"/>
    <x v="55"/>
    <x v="2"/>
    <x v="1"/>
  </r>
  <r>
    <n v="63"/>
    <x v="9"/>
    <x v="1"/>
    <x v="5"/>
    <x v="3"/>
    <n v="89"/>
    <n v="5.5"/>
    <n v="1234"/>
    <n v="1.9"/>
    <x v="4"/>
    <x v="4"/>
    <n v="13836"/>
    <n v="39744"/>
    <n v="89"/>
    <x v="56"/>
    <x v="1"/>
    <x v="2"/>
  </r>
  <r>
    <n v="64"/>
    <x v="7"/>
    <x v="3"/>
    <x v="4"/>
    <x v="2"/>
    <n v="61"/>
    <n v="11.4"/>
    <n v="2236"/>
    <n v="3.6"/>
    <x v="1"/>
    <x v="3"/>
    <n v="2010"/>
    <n v="30107"/>
    <n v="67"/>
    <x v="57"/>
    <x v="0"/>
    <x v="0"/>
  </r>
  <r>
    <n v="65"/>
    <x v="5"/>
    <x v="2"/>
    <x v="3"/>
    <x v="1"/>
    <n v="15"/>
    <n v="3.3"/>
    <n v="1215"/>
    <n v="4.5999999999999996"/>
    <x v="1"/>
    <x v="3"/>
    <n v="6541"/>
    <n v="41697"/>
    <n v="77"/>
    <x v="58"/>
    <x v="3"/>
    <x v="0"/>
  </r>
  <r>
    <n v="66"/>
    <x v="8"/>
    <x v="3"/>
    <x v="1"/>
    <x v="0"/>
    <n v="76"/>
    <n v="5.6"/>
    <n v="2141"/>
    <n v="4"/>
    <x v="4"/>
    <x v="1"/>
    <n v="10512"/>
    <n v="84937"/>
    <n v="81"/>
    <x v="59"/>
    <x v="3"/>
    <x v="2"/>
  </r>
  <r>
    <n v="67"/>
    <x v="5"/>
    <x v="2"/>
    <x v="1"/>
    <x v="3"/>
    <n v="67"/>
    <n v="9.6"/>
    <n v="1050"/>
    <n v="1.9"/>
    <x v="2"/>
    <x v="1"/>
    <n v="6435"/>
    <n v="98498"/>
    <n v="51"/>
    <x v="60"/>
    <x v="0"/>
    <x v="0"/>
  </r>
  <r>
    <n v="68"/>
    <x v="9"/>
    <x v="3"/>
    <x v="1"/>
    <x v="4"/>
    <n v="54"/>
    <n v="3.6"/>
    <n v="1929"/>
    <n v="4.8"/>
    <x v="4"/>
    <x v="1"/>
    <n v="11402"/>
    <n v="79975"/>
    <n v="94"/>
    <x v="43"/>
    <x v="3"/>
    <x v="2"/>
  </r>
  <r>
    <n v="69"/>
    <x v="9"/>
    <x v="2"/>
    <x v="4"/>
    <x v="4"/>
    <n v="39"/>
    <n v="7"/>
    <n v="2624"/>
    <n v="1.9"/>
    <x v="0"/>
    <x v="2"/>
    <n v="3461"/>
    <n v="25452"/>
    <n v="79"/>
    <x v="21"/>
    <x v="3"/>
    <x v="0"/>
  </r>
  <r>
    <n v="70"/>
    <x v="6"/>
    <x v="0"/>
    <x v="4"/>
    <x v="3"/>
    <n v="35"/>
    <n v="10.1"/>
    <n v="1511"/>
    <n v="3.3"/>
    <x v="4"/>
    <x v="2"/>
    <n v="11374"/>
    <n v="83365"/>
    <n v="78"/>
    <x v="61"/>
    <x v="2"/>
    <x v="0"/>
  </r>
  <r>
    <n v="71"/>
    <x v="7"/>
    <x v="3"/>
    <x v="3"/>
    <x v="4"/>
    <n v="81"/>
    <n v="9.8000000000000007"/>
    <n v="2911"/>
    <n v="1.8"/>
    <x v="6"/>
    <x v="4"/>
    <n v="4519"/>
    <n v="105208"/>
    <n v="67"/>
    <x v="62"/>
    <x v="3"/>
    <x v="1"/>
  </r>
  <r>
    <n v="72"/>
    <x v="5"/>
    <x v="4"/>
    <x v="5"/>
    <x v="0"/>
    <n v="22"/>
    <n v="4.9000000000000004"/>
    <n v="1938"/>
    <n v="4.3"/>
    <x v="5"/>
    <x v="3"/>
    <n v="12438"/>
    <n v="99011"/>
    <n v="67"/>
    <x v="63"/>
    <x v="3"/>
    <x v="1"/>
  </r>
  <r>
    <n v="73"/>
    <x v="8"/>
    <x v="4"/>
    <x v="1"/>
    <x v="0"/>
    <n v="81"/>
    <n v="5.2"/>
    <n v="1106"/>
    <n v="1.7"/>
    <x v="6"/>
    <x v="4"/>
    <n v="3231"/>
    <n v="53360"/>
    <n v="98"/>
    <x v="64"/>
    <x v="1"/>
    <x v="2"/>
  </r>
  <r>
    <n v="74"/>
    <x v="7"/>
    <x v="1"/>
    <x v="4"/>
    <x v="3"/>
    <n v="23"/>
    <n v="11.9"/>
    <n v="1293"/>
    <n v="3"/>
    <x v="5"/>
    <x v="2"/>
    <n v="8701"/>
    <n v="102636"/>
    <n v="66"/>
    <x v="65"/>
    <x v="2"/>
    <x v="1"/>
  </r>
  <r>
    <n v="75"/>
    <x v="5"/>
    <x v="2"/>
    <x v="1"/>
    <x v="0"/>
    <n v="46"/>
    <n v="5"/>
    <n v="1410"/>
    <n v="3.2"/>
    <x v="1"/>
    <x v="3"/>
    <n v="8541"/>
    <n v="115821"/>
    <n v="96"/>
    <x v="66"/>
    <x v="3"/>
    <x v="2"/>
  </r>
  <r>
    <n v="76"/>
    <x v="5"/>
    <x v="3"/>
    <x v="2"/>
    <x v="1"/>
    <n v="35"/>
    <n v="5.5"/>
    <n v="1028"/>
    <n v="3.2"/>
    <x v="0"/>
    <x v="2"/>
    <n v="6650"/>
    <n v="83087"/>
    <n v="88"/>
    <x v="67"/>
    <x v="2"/>
    <x v="1"/>
  </r>
  <r>
    <n v="77"/>
    <x v="7"/>
    <x v="2"/>
    <x v="0"/>
    <x v="3"/>
    <n v="62"/>
    <n v="4.5999999999999996"/>
    <n v="1093"/>
    <n v="4.5999999999999996"/>
    <x v="2"/>
    <x v="2"/>
    <n v="10988"/>
    <n v="50405"/>
    <n v="77"/>
    <x v="44"/>
    <x v="1"/>
    <x v="0"/>
  </r>
  <r>
    <n v="78"/>
    <x v="5"/>
    <x v="3"/>
    <x v="0"/>
    <x v="0"/>
    <n v="88"/>
    <n v="11.7"/>
    <n v="1872"/>
    <n v="1.8"/>
    <x v="3"/>
    <x v="2"/>
    <n v="8175"/>
    <n v="67314"/>
    <n v="92"/>
    <x v="24"/>
    <x v="3"/>
    <x v="1"/>
  </r>
  <r>
    <n v="79"/>
    <x v="8"/>
    <x v="2"/>
    <x v="0"/>
    <x v="2"/>
    <n v="36"/>
    <n v="7.6"/>
    <n v="2993"/>
    <n v="4.7"/>
    <x v="0"/>
    <x v="0"/>
    <n v="8679"/>
    <n v="103758"/>
    <n v="50"/>
    <x v="68"/>
    <x v="1"/>
    <x v="1"/>
  </r>
  <r>
    <n v="80"/>
    <x v="7"/>
    <x v="1"/>
    <x v="5"/>
    <x v="1"/>
    <n v="24"/>
    <n v="9"/>
    <n v="1510"/>
    <n v="2.5"/>
    <x v="3"/>
    <x v="0"/>
    <n v="14959"/>
    <n v="99116"/>
    <n v="73"/>
    <x v="69"/>
    <x v="3"/>
    <x v="0"/>
  </r>
  <r>
    <n v="81"/>
    <x v="6"/>
    <x v="1"/>
    <x v="0"/>
    <x v="2"/>
    <n v="73"/>
    <n v="7"/>
    <n v="2981"/>
    <n v="3.5"/>
    <x v="2"/>
    <x v="4"/>
    <n v="3093"/>
    <n v="50652"/>
    <n v="60"/>
    <x v="70"/>
    <x v="2"/>
    <x v="1"/>
  </r>
  <r>
    <n v="82"/>
    <x v="8"/>
    <x v="4"/>
    <x v="1"/>
    <x v="3"/>
    <n v="15"/>
    <n v="10.8"/>
    <n v="1926"/>
    <n v="4.2"/>
    <x v="3"/>
    <x v="0"/>
    <n v="8347"/>
    <n v="93820"/>
    <n v="58"/>
    <x v="71"/>
    <x v="3"/>
    <x v="2"/>
  </r>
  <r>
    <n v="83"/>
    <x v="8"/>
    <x v="1"/>
    <x v="4"/>
    <x v="2"/>
    <n v="22"/>
    <n v="5.8"/>
    <n v="1300"/>
    <n v="1.7"/>
    <x v="0"/>
    <x v="0"/>
    <n v="13951"/>
    <n v="52834"/>
    <n v="100"/>
    <x v="72"/>
    <x v="2"/>
    <x v="1"/>
  </r>
  <r>
    <n v="84"/>
    <x v="9"/>
    <x v="3"/>
    <x v="1"/>
    <x v="0"/>
    <n v="27"/>
    <n v="6.6"/>
    <n v="1261"/>
    <n v="3.9"/>
    <x v="7"/>
    <x v="2"/>
    <n v="8693"/>
    <n v="27369"/>
    <n v="76"/>
    <x v="73"/>
    <x v="3"/>
    <x v="0"/>
  </r>
  <r>
    <n v="85"/>
    <x v="5"/>
    <x v="1"/>
    <x v="5"/>
    <x v="0"/>
    <n v="33"/>
    <n v="3.8"/>
    <n v="1670"/>
    <n v="4.8"/>
    <x v="4"/>
    <x v="4"/>
    <n v="12992"/>
    <n v="30580"/>
    <n v="89"/>
    <x v="15"/>
    <x v="1"/>
    <x v="2"/>
  </r>
  <r>
    <n v="86"/>
    <x v="5"/>
    <x v="4"/>
    <x v="1"/>
    <x v="3"/>
    <n v="50"/>
    <n v="10.4"/>
    <n v="1227"/>
    <n v="1.7"/>
    <x v="6"/>
    <x v="4"/>
    <n v="5405"/>
    <n v="47737"/>
    <n v="85"/>
    <x v="74"/>
    <x v="3"/>
    <x v="0"/>
  </r>
  <r>
    <n v="87"/>
    <x v="6"/>
    <x v="0"/>
    <x v="1"/>
    <x v="1"/>
    <n v="24"/>
    <n v="5"/>
    <n v="2524"/>
    <n v="3.2"/>
    <x v="1"/>
    <x v="2"/>
    <n v="11057"/>
    <n v="117147"/>
    <n v="86"/>
    <x v="75"/>
    <x v="1"/>
    <x v="1"/>
  </r>
  <r>
    <n v="88"/>
    <x v="8"/>
    <x v="3"/>
    <x v="4"/>
    <x v="2"/>
    <n v="35"/>
    <n v="9"/>
    <n v="2013"/>
    <n v="1.8"/>
    <x v="6"/>
    <x v="3"/>
    <n v="14078"/>
    <n v="114028"/>
    <n v="71"/>
    <x v="76"/>
    <x v="3"/>
    <x v="2"/>
  </r>
  <r>
    <n v="89"/>
    <x v="8"/>
    <x v="2"/>
    <x v="0"/>
    <x v="4"/>
    <n v="77"/>
    <n v="5.5"/>
    <n v="1992"/>
    <n v="2.6"/>
    <x v="0"/>
    <x v="0"/>
    <n v="3258"/>
    <n v="72064"/>
    <n v="94"/>
    <x v="77"/>
    <x v="0"/>
    <x v="0"/>
  </r>
  <r>
    <n v="90"/>
    <x v="6"/>
    <x v="2"/>
    <x v="2"/>
    <x v="4"/>
    <n v="90"/>
    <n v="7.5"/>
    <n v="2344"/>
    <n v="3.5"/>
    <x v="4"/>
    <x v="4"/>
    <n v="13023"/>
    <n v="73515"/>
    <n v="90"/>
    <x v="78"/>
    <x v="1"/>
    <x v="0"/>
  </r>
  <r>
    <n v="91"/>
    <x v="9"/>
    <x v="1"/>
    <x v="1"/>
    <x v="3"/>
    <n v="19"/>
    <n v="3.6"/>
    <n v="2788"/>
    <n v="3.3"/>
    <x v="1"/>
    <x v="2"/>
    <n v="11614"/>
    <n v="64577"/>
    <n v="82"/>
    <x v="79"/>
    <x v="1"/>
    <x v="2"/>
  </r>
  <r>
    <n v="92"/>
    <x v="7"/>
    <x v="0"/>
    <x v="5"/>
    <x v="2"/>
    <n v="40"/>
    <n v="8.5"/>
    <n v="1015"/>
    <n v="4.2"/>
    <x v="2"/>
    <x v="4"/>
    <n v="13368"/>
    <n v="107863"/>
    <n v="88"/>
    <x v="80"/>
    <x v="2"/>
    <x v="1"/>
  </r>
  <r>
    <n v="93"/>
    <x v="7"/>
    <x v="2"/>
    <x v="2"/>
    <x v="1"/>
    <n v="86"/>
    <n v="7.3"/>
    <n v="1019"/>
    <n v="3.4"/>
    <x v="0"/>
    <x v="3"/>
    <n v="10148"/>
    <n v="29965"/>
    <n v="69"/>
    <x v="59"/>
    <x v="1"/>
    <x v="1"/>
  </r>
  <r>
    <n v="94"/>
    <x v="9"/>
    <x v="2"/>
    <x v="2"/>
    <x v="0"/>
    <n v="64"/>
    <n v="7.7"/>
    <n v="919"/>
    <n v="4.9000000000000004"/>
    <x v="7"/>
    <x v="2"/>
    <n v="12984"/>
    <n v="70431"/>
    <n v="66"/>
    <x v="81"/>
    <x v="3"/>
    <x v="0"/>
  </r>
  <r>
    <n v="95"/>
    <x v="9"/>
    <x v="3"/>
    <x v="4"/>
    <x v="3"/>
    <n v="40"/>
    <n v="4.7"/>
    <n v="2888"/>
    <n v="4.8"/>
    <x v="6"/>
    <x v="0"/>
    <n v="11008"/>
    <n v="30748"/>
    <n v="83"/>
    <x v="82"/>
    <x v="1"/>
    <x v="1"/>
  </r>
  <r>
    <n v="96"/>
    <x v="8"/>
    <x v="4"/>
    <x v="5"/>
    <x v="4"/>
    <n v="63"/>
    <n v="9.1"/>
    <n v="2015"/>
    <n v="4.8"/>
    <x v="7"/>
    <x v="1"/>
    <n v="7044"/>
    <n v="84019"/>
    <n v="98"/>
    <x v="21"/>
    <x v="2"/>
    <x v="1"/>
  </r>
  <r>
    <n v="97"/>
    <x v="5"/>
    <x v="0"/>
    <x v="2"/>
    <x v="0"/>
    <n v="69"/>
    <n v="10.1"/>
    <n v="2156"/>
    <n v="3.2"/>
    <x v="1"/>
    <x v="1"/>
    <n v="10572"/>
    <n v="87314"/>
    <n v="64"/>
    <x v="18"/>
    <x v="0"/>
    <x v="1"/>
  </r>
  <r>
    <n v="98"/>
    <x v="6"/>
    <x v="3"/>
    <x v="4"/>
    <x v="1"/>
    <n v="53"/>
    <n v="9.6999999999999993"/>
    <n v="2413"/>
    <n v="3.3"/>
    <x v="6"/>
    <x v="4"/>
    <n v="12675"/>
    <n v="63232"/>
    <n v="77"/>
    <x v="74"/>
    <x v="1"/>
    <x v="2"/>
  </r>
  <r>
    <n v="99"/>
    <x v="9"/>
    <x v="3"/>
    <x v="2"/>
    <x v="3"/>
    <n v="69"/>
    <n v="6.6"/>
    <n v="899"/>
    <n v="3.9"/>
    <x v="7"/>
    <x v="3"/>
    <n v="8240"/>
    <n v="112105"/>
    <n v="91"/>
    <x v="83"/>
    <x v="3"/>
    <x v="0"/>
  </r>
  <r>
    <n v="100"/>
    <x v="8"/>
    <x v="2"/>
    <x v="4"/>
    <x v="4"/>
    <n v="44"/>
    <n v="7.1"/>
    <n v="2588"/>
    <n v="4.5999999999999996"/>
    <x v="6"/>
    <x v="2"/>
    <n v="14645"/>
    <n v="48063"/>
    <n v="96"/>
    <x v="70"/>
    <x v="3"/>
    <x v="0"/>
  </r>
  <r>
    <n v="101"/>
    <x v="5"/>
    <x v="3"/>
    <x v="1"/>
    <x v="3"/>
    <n v="34"/>
    <n v="10.199999999999999"/>
    <n v="2934"/>
    <n v="2"/>
    <x v="3"/>
    <x v="2"/>
    <n v="13635"/>
    <n v="24539"/>
    <n v="94"/>
    <x v="67"/>
    <x v="3"/>
    <x v="1"/>
  </r>
  <r>
    <n v="102"/>
    <x v="9"/>
    <x v="3"/>
    <x v="1"/>
    <x v="4"/>
    <n v="21"/>
    <n v="4.8"/>
    <n v="2609"/>
    <n v="3"/>
    <x v="6"/>
    <x v="1"/>
    <n v="6362"/>
    <n v="95257"/>
    <n v="90"/>
    <x v="35"/>
    <x v="3"/>
    <x v="1"/>
  </r>
  <r>
    <n v="103"/>
    <x v="5"/>
    <x v="1"/>
    <x v="3"/>
    <x v="0"/>
    <n v="25"/>
    <n v="4.7"/>
    <n v="2649"/>
    <n v="2.6"/>
    <x v="1"/>
    <x v="0"/>
    <n v="7621"/>
    <n v="22967"/>
    <n v="86"/>
    <x v="84"/>
    <x v="3"/>
    <x v="1"/>
  </r>
  <r>
    <n v="104"/>
    <x v="9"/>
    <x v="4"/>
    <x v="4"/>
    <x v="4"/>
    <n v="34"/>
    <n v="6.8"/>
    <n v="1307"/>
    <n v="4.0999999999999996"/>
    <x v="6"/>
    <x v="0"/>
    <n v="9125"/>
    <n v="39611"/>
    <n v="88"/>
    <x v="85"/>
    <x v="3"/>
    <x v="1"/>
  </r>
  <r>
    <n v="105"/>
    <x v="9"/>
    <x v="1"/>
    <x v="0"/>
    <x v="0"/>
    <n v="13"/>
    <n v="4.7"/>
    <n v="1646"/>
    <n v="3"/>
    <x v="1"/>
    <x v="0"/>
    <n v="3245"/>
    <n v="59519"/>
    <n v="54"/>
    <x v="16"/>
    <x v="1"/>
    <x v="0"/>
  </r>
  <r>
    <n v="106"/>
    <x v="7"/>
    <x v="4"/>
    <x v="5"/>
    <x v="1"/>
    <n v="29"/>
    <n v="10.7"/>
    <n v="1668"/>
    <n v="2.6"/>
    <x v="7"/>
    <x v="3"/>
    <n v="9145"/>
    <n v="33774"/>
    <n v="56"/>
    <x v="86"/>
    <x v="0"/>
    <x v="2"/>
  </r>
  <r>
    <n v="107"/>
    <x v="5"/>
    <x v="1"/>
    <x v="0"/>
    <x v="0"/>
    <n v="73"/>
    <n v="4.8"/>
    <n v="2475"/>
    <n v="1.9"/>
    <x v="1"/>
    <x v="0"/>
    <n v="5023"/>
    <n v="114326"/>
    <n v="76"/>
    <x v="87"/>
    <x v="1"/>
    <x v="1"/>
  </r>
  <r>
    <n v="108"/>
    <x v="5"/>
    <x v="0"/>
    <x v="5"/>
    <x v="2"/>
    <n v="26"/>
    <n v="10.7"/>
    <n v="2131"/>
    <n v="4"/>
    <x v="0"/>
    <x v="0"/>
    <n v="5047"/>
    <n v="99232"/>
    <n v="73"/>
    <x v="88"/>
    <x v="2"/>
    <x v="2"/>
  </r>
  <r>
    <n v="109"/>
    <x v="5"/>
    <x v="3"/>
    <x v="2"/>
    <x v="1"/>
    <n v="62"/>
    <n v="5.7"/>
    <n v="922"/>
    <n v="1.9"/>
    <x v="7"/>
    <x v="3"/>
    <n v="7096"/>
    <n v="89487"/>
    <n v="70"/>
    <x v="89"/>
    <x v="3"/>
    <x v="2"/>
  </r>
  <r>
    <n v="110"/>
    <x v="7"/>
    <x v="4"/>
    <x v="1"/>
    <x v="1"/>
    <n v="73"/>
    <n v="6.9"/>
    <n v="2220"/>
    <n v="2.1"/>
    <x v="0"/>
    <x v="0"/>
    <n v="11680"/>
    <n v="31133"/>
    <n v="87"/>
    <x v="90"/>
    <x v="2"/>
    <x v="2"/>
  </r>
  <r>
    <n v="111"/>
    <x v="5"/>
    <x v="1"/>
    <x v="4"/>
    <x v="2"/>
    <n v="57"/>
    <n v="3.7"/>
    <n v="1568"/>
    <n v="3.2"/>
    <x v="1"/>
    <x v="4"/>
    <n v="6012"/>
    <n v="114546"/>
    <n v="55"/>
    <x v="91"/>
    <x v="2"/>
    <x v="1"/>
  </r>
  <r>
    <n v="112"/>
    <x v="8"/>
    <x v="0"/>
    <x v="3"/>
    <x v="0"/>
    <n v="28"/>
    <n v="6.6"/>
    <n v="2874"/>
    <n v="2.4"/>
    <x v="4"/>
    <x v="0"/>
    <n v="1826"/>
    <n v="100615"/>
    <n v="79"/>
    <x v="90"/>
    <x v="1"/>
    <x v="0"/>
  </r>
  <r>
    <n v="113"/>
    <x v="6"/>
    <x v="2"/>
    <x v="0"/>
    <x v="0"/>
    <n v="90"/>
    <n v="9.6999999999999993"/>
    <n v="884"/>
    <n v="3.2"/>
    <x v="5"/>
    <x v="1"/>
    <n v="8988"/>
    <n v="32546"/>
    <n v="88"/>
    <x v="92"/>
    <x v="1"/>
    <x v="1"/>
  </r>
  <r>
    <n v="114"/>
    <x v="6"/>
    <x v="0"/>
    <x v="1"/>
    <x v="0"/>
    <n v="60"/>
    <n v="10.6"/>
    <n v="2410"/>
    <n v="4"/>
    <x v="2"/>
    <x v="3"/>
    <n v="8146"/>
    <n v="112288"/>
    <n v="74"/>
    <x v="93"/>
    <x v="0"/>
    <x v="2"/>
  </r>
  <r>
    <n v="115"/>
    <x v="8"/>
    <x v="0"/>
    <x v="0"/>
    <x v="1"/>
    <n v="46"/>
    <n v="5.4"/>
    <n v="1250"/>
    <n v="3.1"/>
    <x v="2"/>
    <x v="4"/>
    <n v="9093"/>
    <n v="115533"/>
    <n v="54"/>
    <x v="69"/>
    <x v="0"/>
    <x v="2"/>
  </r>
  <r>
    <n v="116"/>
    <x v="8"/>
    <x v="4"/>
    <x v="4"/>
    <x v="4"/>
    <n v="48"/>
    <n v="6.1"/>
    <n v="2234"/>
    <n v="3.4"/>
    <x v="2"/>
    <x v="1"/>
    <n v="13141"/>
    <n v="31436"/>
    <n v="86"/>
    <x v="94"/>
    <x v="0"/>
    <x v="1"/>
  </r>
  <r>
    <n v="117"/>
    <x v="6"/>
    <x v="0"/>
    <x v="2"/>
    <x v="0"/>
    <n v="46"/>
    <n v="7.4"/>
    <n v="2563"/>
    <n v="1.6"/>
    <x v="7"/>
    <x v="1"/>
    <n v="6623"/>
    <n v="103380"/>
    <n v="87"/>
    <x v="95"/>
    <x v="0"/>
    <x v="1"/>
  </r>
  <r>
    <n v="118"/>
    <x v="6"/>
    <x v="4"/>
    <x v="3"/>
    <x v="4"/>
    <n v="12"/>
    <n v="4.8"/>
    <n v="1053"/>
    <n v="4.3"/>
    <x v="1"/>
    <x v="3"/>
    <n v="5130"/>
    <n v="63147"/>
    <n v="70"/>
    <x v="96"/>
    <x v="0"/>
    <x v="1"/>
  </r>
  <r>
    <n v="119"/>
    <x v="6"/>
    <x v="2"/>
    <x v="1"/>
    <x v="3"/>
    <n v="49"/>
    <n v="8.3000000000000007"/>
    <n v="1795"/>
    <n v="1.8"/>
    <x v="0"/>
    <x v="2"/>
    <n v="8605"/>
    <n v="57535"/>
    <n v="66"/>
    <x v="97"/>
    <x v="0"/>
    <x v="1"/>
  </r>
  <r>
    <n v="120"/>
    <x v="8"/>
    <x v="2"/>
    <x v="1"/>
    <x v="4"/>
    <n v="63"/>
    <n v="8.4"/>
    <n v="2350"/>
    <n v="2.6"/>
    <x v="0"/>
    <x v="0"/>
    <n v="9476"/>
    <n v="88595"/>
    <n v="70"/>
    <x v="98"/>
    <x v="1"/>
    <x v="1"/>
  </r>
  <r>
    <n v="121"/>
    <x v="8"/>
    <x v="0"/>
    <x v="4"/>
    <x v="2"/>
    <n v="55"/>
    <n v="5.3"/>
    <n v="2439"/>
    <n v="4"/>
    <x v="6"/>
    <x v="3"/>
    <n v="6715"/>
    <n v="47117"/>
    <n v="93"/>
    <x v="99"/>
    <x v="0"/>
    <x v="1"/>
  </r>
  <r>
    <n v="122"/>
    <x v="9"/>
    <x v="3"/>
    <x v="5"/>
    <x v="4"/>
    <n v="58"/>
    <n v="9.1999999999999993"/>
    <n v="1752"/>
    <n v="4.4000000000000004"/>
    <x v="7"/>
    <x v="3"/>
    <n v="11104"/>
    <n v="105061"/>
    <n v="83"/>
    <x v="100"/>
    <x v="0"/>
    <x v="0"/>
  </r>
  <r>
    <n v="123"/>
    <x v="9"/>
    <x v="1"/>
    <x v="1"/>
    <x v="3"/>
    <n v="30"/>
    <n v="9.6"/>
    <n v="2992"/>
    <n v="4.4000000000000004"/>
    <x v="1"/>
    <x v="3"/>
    <n v="1363"/>
    <n v="92549"/>
    <n v="54"/>
    <x v="101"/>
    <x v="2"/>
    <x v="0"/>
  </r>
  <r>
    <n v="124"/>
    <x v="7"/>
    <x v="2"/>
    <x v="2"/>
    <x v="1"/>
    <n v="71"/>
    <n v="8.8000000000000007"/>
    <n v="1290"/>
    <n v="4.0999999999999996"/>
    <x v="2"/>
    <x v="4"/>
    <n v="6960"/>
    <n v="116996"/>
    <n v="71"/>
    <x v="12"/>
    <x v="2"/>
    <x v="2"/>
  </r>
  <r>
    <n v="125"/>
    <x v="6"/>
    <x v="0"/>
    <x v="3"/>
    <x v="3"/>
    <n v="10"/>
    <n v="3.2"/>
    <n v="1995"/>
    <n v="3.6"/>
    <x v="0"/>
    <x v="2"/>
    <n v="6064"/>
    <n v="34939"/>
    <n v="62"/>
    <x v="102"/>
    <x v="0"/>
    <x v="2"/>
  </r>
  <r>
    <n v="126"/>
    <x v="8"/>
    <x v="0"/>
    <x v="0"/>
    <x v="2"/>
    <n v="55"/>
    <n v="11"/>
    <n v="2178"/>
    <n v="1.5"/>
    <x v="6"/>
    <x v="1"/>
    <n v="9177"/>
    <n v="28106"/>
    <n v="96"/>
    <x v="103"/>
    <x v="1"/>
    <x v="0"/>
  </r>
  <r>
    <n v="127"/>
    <x v="6"/>
    <x v="4"/>
    <x v="5"/>
    <x v="1"/>
    <n v="90"/>
    <n v="9.4"/>
    <n v="1806"/>
    <n v="2"/>
    <x v="2"/>
    <x v="1"/>
    <n v="4411"/>
    <n v="86545"/>
    <n v="65"/>
    <x v="104"/>
    <x v="1"/>
    <x v="1"/>
  </r>
  <r>
    <n v="128"/>
    <x v="9"/>
    <x v="0"/>
    <x v="5"/>
    <x v="2"/>
    <n v="87"/>
    <n v="12"/>
    <n v="2645"/>
    <n v="2.8"/>
    <x v="5"/>
    <x v="0"/>
    <n v="10657"/>
    <n v="100269"/>
    <n v="61"/>
    <x v="42"/>
    <x v="2"/>
    <x v="0"/>
  </r>
  <r>
    <n v="129"/>
    <x v="9"/>
    <x v="0"/>
    <x v="2"/>
    <x v="0"/>
    <n v="83"/>
    <n v="5.8"/>
    <n v="2499"/>
    <n v="3.1"/>
    <x v="5"/>
    <x v="4"/>
    <n v="2874"/>
    <n v="116886"/>
    <n v="87"/>
    <x v="105"/>
    <x v="0"/>
    <x v="2"/>
  </r>
  <r>
    <n v="130"/>
    <x v="7"/>
    <x v="2"/>
    <x v="1"/>
    <x v="1"/>
    <n v="62"/>
    <n v="7.1"/>
    <n v="1504"/>
    <n v="2"/>
    <x v="5"/>
    <x v="0"/>
    <n v="12387"/>
    <n v="39608"/>
    <n v="62"/>
    <x v="106"/>
    <x v="2"/>
    <x v="1"/>
  </r>
  <r>
    <n v="131"/>
    <x v="8"/>
    <x v="0"/>
    <x v="2"/>
    <x v="1"/>
    <n v="82"/>
    <n v="9.1"/>
    <n v="1423"/>
    <n v="3.4"/>
    <x v="5"/>
    <x v="0"/>
    <n v="10619"/>
    <n v="31142"/>
    <n v="96"/>
    <x v="68"/>
    <x v="1"/>
    <x v="2"/>
  </r>
  <r>
    <n v="132"/>
    <x v="7"/>
    <x v="1"/>
    <x v="0"/>
    <x v="2"/>
    <n v="87"/>
    <n v="6.9"/>
    <n v="2274"/>
    <n v="2.1"/>
    <x v="7"/>
    <x v="0"/>
    <n v="5597"/>
    <n v="33367"/>
    <n v="52"/>
    <x v="51"/>
    <x v="1"/>
    <x v="0"/>
  </r>
  <r>
    <n v="133"/>
    <x v="8"/>
    <x v="4"/>
    <x v="2"/>
    <x v="1"/>
    <n v="16"/>
    <n v="11.1"/>
    <n v="2254"/>
    <n v="4.0999999999999996"/>
    <x v="4"/>
    <x v="3"/>
    <n v="4829"/>
    <n v="58678"/>
    <n v="100"/>
    <x v="107"/>
    <x v="2"/>
    <x v="0"/>
  </r>
  <r>
    <n v="134"/>
    <x v="5"/>
    <x v="3"/>
    <x v="4"/>
    <x v="3"/>
    <n v="16"/>
    <n v="10.4"/>
    <n v="2946"/>
    <n v="1.9"/>
    <x v="2"/>
    <x v="4"/>
    <n v="12120"/>
    <n v="60964"/>
    <n v="90"/>
    <x v="108"/>
    <x v="3"/>
    <x v="2"/>
  </r>
  <r>
    <n v="135"/>
    <x v="7"/>
    <x v="2"/>
    <x v="0"/>
    <x v="4"/>
    <n v="68"/>
    <n v="9.6"/>
    <n v="2433"/>
    <n v="2.4"/>
    <x v="4"/>
    <x v="3"/>
    <n v="1869"/>
    <n v="100700"/>
    <n v="97"/>
    <x v="17"/>
    <x v="0"/>
    <x v="2"/>
  </r>
  <r>
    <n v="136"/>
    <x v="7"/>
    <x v="0"/>
    <x v="5"/>
    <x v="4"/>
    <n v="79"/>
    <n v="3.2"/>
    <n v="2246"/>
    <n v="3.2"/>
    <x v="0"/>
    <x v="0"/>
    <n v="13183"/>
    <n v="102749"/>
    <n v="81"/>
    <x v="103"/>
    <x v="0"/>
    <x v="2"/>
  </r>
  <r>
    <n v="137"/>
    <x v="8"/>
    <x v="4"/>
    <x v="2"/>
    <x v="1"/>
    <n v="55"/>
    <n v="6.7"/>
    <n v="2285"/>
    <n v="2.9"/>
    <x v="1"/>
    <x v="2"/>
    <n v="13393"/>
    <n v="113959"/>
    <n v="57"/>
    <x v="0"/>
    <x v="2"/>
    <x v="1"/>
  </r>
  <r>
    <n v="138"/>
    <x v="7"/>
    <x v="1"/>
    <x v="2"/>
    <x v="3"/>
    <n v="87"/>
    <n v="10.1"/>
    <n v="1584"/>
    <n v="1.9"/>
    <x v="3"/>
    <x v="2"/>
    <n v="12036"/>
    <n v="35128"/>
    <n v="77"/>
    <x v="109"/>
    <x v="3"/>
    <x v="2"/>
  </r>
  <r>
    <n v="139"/>
    <x v="9"/>
    <x v="0"/>
    <x v="3"/>
    <x v="2"/>
    <n v="79"/>
    <n v="4"/>
    <n v="1192"/>
    <n v="2.6"/>
    <x v="3"/>
    <x v="4"/>
    <n v="7959"/>
    <n v="57112"/>
    <n v="82"/>
    <x v="76"/>
    <x v="3"/>
    <x v="1"/>
  </r>
  <r>
    <n v="140"/>
    <x v="6"/>
    <x v="0"/>
    <x v="3"/>
    <x v="1"/>
    <n v="77"/>
    <n v="4.5"/>
    <n v="2113"/>
    <n v="3.2"/>
    <x v="1"/>
    <x v="2"/>
    <n v="3454"/>
    <n v="36901"/>
    <n v="88"/>
    <x v="110"/>
    <x v="1"/>
    <x v="1"/>
  </r>
  <r>
    <n v="141"/>
    <x v="7"/>
    <x v="0"/>
    <x v="5"/>
    <x v="1"/>
    <n v="36"/>
    <n v="6.7"/>
    <n v="1379"/>
    <n v="1.6"/>
    <x v="0"/>
    <x v="1"/>
    <n v="9944"/>
    <n v="93232"/>
    <n v="58"/>
    <x v="111"/>
    <x v="2"/>
    <x v="1"/>
  </r>
  <r>
    <n v="142"/>
    <x v="7"/>
    <x v="1"/>
    <x v="0"/>
    <x v="0"/>
    <n v="73"/>
    <n v="8.6"/>
    <n v="2049"/>
    <n v="1.8"/>
    <x v="2"/>
    <x v="1"/>
    <n v="2247"/>
    <n v="75467"/>
    <n v="55"/>
    <x v="112"/>
    <x v="0"/>
    <x v="0"/>
  </r>
  <r>
    <n v="143"/>
    <x v="6"/>
    <x v="2"/>
    <x v="4"/>
    <x v="4"/>
    <n v="46"/>
    <n v="10.1"/>
    <n v="1390"/>
    <n v="3.1"/>
    <x v="7"/>
    <x v="0"/>
    <n v="1428"/>
    <n v="22253"/>
    <n v="60"/>
    <x v="113"/>
    <x v="0"/>
    <x v="2"/>
  </r>
  <r>
    <n v="144"/>
    <x v="6"/>
    <x v="3"/>
    <x v="2"/>
    <x v="4"/>
    <n v="12"/>
    <n v="5.4"/>
    <n v="2041"/>
    <n v="4"/>
    <x v="1"/>
    <x v="3"/>
    <n v="10809"/>
    <n v="99328"/>
    <n v="94"/>
    <x v="114"/>
    <x v="0"/>
    <x v="2"/>
  </r>
  <r>
    <n v="145"/>
    <x v="7"/>
    <x v="4"/>
    <x v="5"/>
    <x v="2"/>
    <n v="10"/>
    <n v="5.7"/>
    <n v="2259"/>
    <n v="3.3"/>
    <x v="6"/>
    <x v="4"/>
    <n v="12443"/>
    <n v="87111"/>
    <n v="83"/>
    <x v="115"/>
    <x v="0"/>
    <x v="2"/>
  </r>
  <r>
    <n v="146"/>
    <x v="7"/>
    <x v="3"/>
    <x v="0"/>
    <x v="4"/>
    <n v="62"/>
    <n v="11.7"/>
    <n v="2210"/>
    <n v="5"/>
    <x v="3"/>
    <x v="0"/>
    <n v="3118"/>
    <n v="92294"/>
    <n v="90"/>
    <x v="116"/>
    <x v="1"/>
    <x v="2"/>
  </r>
  <r>
    <n v="147"/>
    <x v="5"/>
    <x v="1"/>
    <x v="4"/>
    <x v="0"/>
    <n v="82"/>
    <n v="8"/>
    <n v="1167"/>
    <n v="1.6"/>
    <x v="5"/>
    <x v="0"/>
    <n v="12335"/>
    <n v="40679"/>
    <n v="55"/>
    <x v="117"/>
    <x v="3"/>
    <x v="1"/>
  </r>
  <r>
    <n v="148"/>
    <x v="9"/>
    <x v="1"/>
    <x v="4"/>
    <x v="4"/>
    <n v="14"/>
    <n v="11.2"/>
    <n v="1517"/>
    <n v="3.9"/>
    <x v="2"/>
    <x v="0"/>
    <n v="3647"/>
    <n v="57967"/>
    <n v="82"/>
    <x v="52"/>
    <x v="0"/>
    <x v="2"/>
  </r>
  <r>
    <n v="149"/>
    <x v="6"/>
    <x v="2"/>
    <x v="2"/>
    <x v="0"/>
    <n v="36"/>
    <n v="3.4"/>
    <n v="2271"/>
    <n v="3"/>
    <x v="5"/>
    <x v="3"/>
    <n v="12412"/>
    <n v="57138"/>
    <n v="61"/>
    <x v="39"/>
    <x v="0"/>
    <x v="1"/>
  </r>
  <r>
    <n v="150"/>
    <x v="5"/>
    <x v="3"/>
    <x v="2"/>
    <x v="3"/>
    <n v="11"/>
    <n v="9.6999999999999993"/>
    <n v="1447"/>
    <n v="3.5"/>
    <x v="2"/>
    <x v="4"/>
    <n v="4849"/>
    <n v="57150"/>
    <n v="68"/>
    <x v="118"/>
    <x v="2"/>
    <x v="1"/>
  </r>
  <r>
    <n v="151"/>
    <x v="7"/>
    <x v="3"/>
    <x v="4"/>
    <x v="3"/>
    <n v="63"/>
    <n v="11.2"/>
    <n v="2561"/>
    <n v="4.4000000000000004"/>
    <x v="0"/>
    <x v="3"/>
    <n v="10808"/>
    <n v="64381"/>
    <n v="97"/>
    <x v="119"/>
    <x v="2"/>
    <x v="1"/>
  </r>
  <r>
    <n v="152"/>
    <x v="9"/>
    <x v="1"/>
    <x v="3"/>
    <x v="4"/>
    <n v="82"/>
    <n v="9.6"/>
    <n v="1423"/>
    <n v="2.6"/>
    <x v="6"/>
    <x v="0"/>
    <n v="10324"/>
    <n v="97828"/>
    <n v="100"/>
    <x v="45"/>
    <x v="2"/>
    <x v="1"/>
  </r>
  <r>
    <n v="153"/>
    <x v="6"/>
    <x v="2"/>
    <x v="2"/>
    <x v="4"/>
    <n v="27"/>
    <n v="4.8"/>
    <n v="2873"/>
    <n v="3.9"/>
    <x v="1"/>
    <x v="1"/>
    <n v="13152"/>
    <n v="20929"/>
    <n v="71"/>
    <x v="120"/>
    <x v="2"/>
    <x v="1"/>
  </r>
  <r>
    <n v="154"/>
    <x v="5"/>
    <x v="1"/>
    <x v="2"/>
    <x v="3"/>
    <n v="16"/>
    <n v="5.9"/>
    <n v="1953"/>
    <n v="3.4"/>
    <x v="0"/>
    <x v="1"/>
    <n v="5295"/>
    <n v="70695"/>
    <n v="98"/>
    <x v="121"/>
    <x v="0"/>
    <x v="1"/>
  </r>
  <r>
    <n v="155"/>
    <x v="7"/>
    <x v="4"/>
    <x v="2"/>
    <x v="1"/>
    <n v="78"/>
    <n v="6.1"/>
    <n v="2443"/>
    <n v="4"/>
    <x v="5"/>
    <x v="2"/>
    <n v="9267"/>
    <n v="36159"/>
    <n v="60"/>
    <x v="122"/>
    <x v="0"/>
    <x v="2"/>
  </r>
  <r>
    <n v="156"/>
    <x v="8"/>
    <x v="1"/>
    <x v="2"/>
    <x v="4"/>
    <n v="45"/>
    <n v="10.5"/>
    <n v="1309"/>
    <n v="3.5"/>
    <x v="5"/>
    <x v="1"/>
    <n v="10539"/>
    <n v="87037"/>
    <n v="79"/>
    <x v="123"/>
    <x v="1"/>
    <x v="0"/>
  </r>
  <r>
    <n v="157"/>
    <x v="5"/>
    <x v="2"/>
    <x v="4"/>
    <x v="2"/>
    <n v="30"/>
    <n v="10.6"/>
    <n v="2165"/>
    <n v="3.1"/>
    <x v="3"/>
    <x v="4"/>
    <n v="8405"/>
    <n v="68414"/>
    <n v="92"/>
    <x v="124"/>
    <x v="2"/>
    <x v="2"/>
  </r>
  <r>
    <n v="158"/>
    <x v="8"/>
    <x v="2"/>
    <x v="0"/>
    <x v="4"/>
    <n v="60"/>
    <n v="4"/>
    <n v="819"/>
    <n v="4.2"/>
    <x v="5"/>
    <x v="4"/>
    <n v="4188"/>
    <n v="74430"/>
    <n v="76"/>
    <x v="125"/>
    <x v="3"/>
    <x v="1"/>
  </r>
  <r>
    <n v="159"/>
    <x v="7"/>
    <x v="2"/>
    <x v="3"/>
    <x v="3"/>
    <n v="19"/>
    <n v="4.5"/>
    <n v="1846"/>
    <n v="4"/>
    <x v="5"/>
    <x v="4"/>
    <n v="12143"/>
    <n v="35420"/>
    <n v="77"/>
    <x v="126"/>
    <x v="3"/>
    <x v="2"/>
  </r>
  <r>
    <n v="160"/>
    <x v="8"/>
    <x v="4"/>
    <x v="2"/>
    <x v="3"/>
    <n v="87"/>
    <n v="10.8"/>
    <n v="2434"/>
    <n v="4.9000000000000004"/>
    <x v="7"/>
    <x v="0"/>
    <n v="6121"/>
    <n v="69288"/>
    <n v="90"/>
    <x v="127"/>
    <x v="0"/>
    <x v="2"/>
  </r>
  <r>
    <n v="161"/>
    <x v="8"/>
    <x v="3"/>
    <x v="3"/>
    <x v="1"/>
    <n v="24"/>
    <n v="6"/>
    <n v="2660"/>
    <n v="4.5999999999999996"/>
    <x v="0"/>
    <x v="4"/>
    <n v="6642"/>
    <n v="36940"/>
    <n v="81"/>
    <x v="128"/>
    <x v="2"/>
    <x v="0"/>
  </r>
  <r>
    <n v="162"/>
    <x v="7"/>
    <x v="4"/>
    <x v="1"/>
    <x v="3"/>
    <n v="18"/>
    <n v="9.6"/>
    <n v="2736"/>
    <n v="2.1"/>
    <x v="7"/>
    <x v="3"/>
    <n v="5070"/>
    <n v="76894"/>
    <n v="81"/>
    <x v="129"/>
    <x v="0"/>
    <x v="1"/>
  </r>
  <r>
    <n v="163"/>
    <x v="9"/>
    <x v="0"/>
    <x v="0"/>
    <x v="4"/>
    <n v="49"/>
    <n v="7.2"/>
    <n v="2069"/>
    <n v="4.5999999999999996"/>
    <x v="6"/>
    <x v="3"/>
    <n v="4352"/>
    <n v="34259"/>
    <n v="69"/>
    <x v="130"/>
    <x v="2"/>
    <x v="0"/>
  </r>
  <r>
    <n v="164"/>
    <x v="9"/>
    <x v="1"/>
    <x v="5"/>
    <x v="4"/>
    <n v="48"/>
    <n v="4.4000000000000004"/>
    <n v="2514"/>
    <n v="4.0999999999999996"/>
    <x v="0"/>
    <x v="1"/>
    <n v="12615"/>
    <n v="55769"/>
    <n v="72"/>
    <x v="131"/>
    <x v="1"/>
    <x v="2"/>
  </r>
  <r>
    <n v="165"/>
    <x v="9"/>
    <x v="0"/>
    <x v="5"/>
    <x v="3"/>
    <n v="22"/>
    <n v="11.4"/>
    <n v="940"/>
    <n v="2.2000000000000002"/>
    <x v="5"/>
    <x v="3"/>
    <n v="7492"/>
    <n v="49875"/>
    <n v="94"/>
    <x v="132"/>
    <x v="3"/>
    <x v="2"/>
  </r>
  <r>
    <n v="166"/>
    <x v="5"/>
    <x v="0"/>
    <x v="4"/>
    <x v="1"/>
    <n v="89"/>
    <n v="11.6"/>
    <n v="2391"/>
    <n v="3.5"/>
    <x v="2"/>
    <x v="3"/>
    <n v="9723"/>
    <n v="40639"/>
    <n v="96"/>
    <x v="133"/>
    <x v="3"/>
    <x v="1"/>
  </r>
  <r>
    <n v="167"/>
    <x v="6"/>
    <x v="3"/>
    <x v="2"/>
    <x v="4"/>
    <n v="19"/>
    <n v="5.4"/>
    <n v="2413"/>
    <n v="4"/>
    <x v="2"/>
    <x v="1"/>
    <n v="5971"/>
    <n v="63304"/>
    <n v="74"/>
    <x v="134"/>
    <x v="2"/>
    <x v="1"/>
  </r>
  <r>
    <n v="168"/>
    <x v="5"/>
    <x v="2"/>
    <x v="3"/>
    <x v="2"/>
    <n v="88"/>
    <n v="6.8"/>
    <n v="1048"/>
    <n v="2.9"/>
    <x v="4"/>
    <x v="3"/>
    <n v="1877"/>
    <n v="48663"/>
    <n v="80"/>
    <x v="135"/>
    <x v="3"/>
    <x v="1"/>
  </r>
  <r>
    <n v="169"/>
    <x v="6"/>
    <x v="1"/>
    <x v="5"/>
    <x v="4"/>
    <n v="54"/>
    <n v="10.7"/>
    <n v="1314"/>
    <n v="4.5999999999999996"/>
    <x v="4"/>
    <x v="4"/>
    <n v="1671"/>
    <n v="117165"/>
    <n v="56"/>
    <x v="136"/>
    <x v="1"/>
    <x v="2"/>
  </r>
  <r>
    <n v="170"/>
    <x v="7"/>
    <x v="3"/>
    <x v="0"/>
    <x v="3"/>
    <n v="84"/>
    <n v="5.7"/>
    <n v="1462"/>
    <n v="4.5999999999999996"/>
    <x v="6"/>
    <x v="3"/>
    <n v="7109"/>
    <n v="91559"/>
    <n v="53"/>
    <x v="137"/>
    <x v="1"/>
    <x v="2"/>
  </r>
  <r>
    <n v="171"/>
    <x v="8"/>
    <x v="4"/>
    <x v="3"/>
    <x v="3"/>
    <n v="48"/>
    <n v="10.199999999999999"/>
    <n v="1313"/>
    <n v="3.2"/>
    <x v="5"/>
    <x v="4"/>
    <n v="8963"/>
    <n v="112563"/>
    <n v="87"/>
    <x v="138"/>
    <x v="0"/>
    <x v="2"/>
  </r>
  <r>
    <n v="172"/>
    <x v="7"/>
    <x v="1"/>
    <x v="0"/>
    <x v="0"/>
    <n v="36"/>
    <n v="6.8"/>
    <n v="1708"/>
    <n v="4.5999999999999996"/>
    <x v="1"/>
    <x v="1"/>
    <n v="10814"/>
    <n v="97380"/>
    <n v="58"/>
    <x v="139"/>
    <x v="3"/>
    <x v="1"/>
  </r>
  <r>
    <n v="173"/>
    <x v="5"/>
    <x v="1"/>
    <x v="1"/>
    <x v="3"/>
    <n v="87"/>
    <n v="12"/>
    <n v="2614"/>
    <n v="2.1"/>
    <x v="2"/>
    <x v="2"/>
    <n v="1376"/>
    <n v="39952"/>
    <n v="86"/>
    <x v="140"/>
    <x v="1"/>
    <x v="1"/>
  </r>
  <r>
    <n v="174"/>
    <x v="9"/>
    <x v="2"/>
    <x v="0"/>
    <x v="3"/>
    <n v="65"/>
    <n v="7.7"/>
    <n v="1834"/>
    <n v="3.4"/>
    <x v="5"/>
    <x v="1"/>
    <n v="9927"/>
    <n v="65732"/>
    <n v="87"/>
    <x v="119"/>
    <x v="3"/>
    <x v="0"/>
  </r>
  <r>
    <n v="175"/>
    <x v="5"/>
    <x v="3"/>
    <x v="2"/>
    <x v="2"/>
    <n v="60"/>
    <n v="7"/>
    <n v="2407"/>
    <n v="1.9"/>
    <x v="0"/>
    <x v="1"/>
    <n v="2422"/>
    <n v="53195"/>
    <n v="64"/>
    <x v="141"/>
    <x v="2"/>
    <x v="0"/>
  </r>
  <r>
    <n v="176"/>
    <x v="8"/>
    <x v="4"/>
    <x v="3"/>
    <x v="3"/>
    <n v="23"/>
    <n v="9.6999999999999993"/>
    <n v="1592"/>
    <n v="4.7"/>
    <x v="1"/>
    <x v="4"/>
    <n v="10662"/>
    <n v="32749"/>
    <n v="98"/>
    <x v="142"/>
    <x v="3"/>
    <x v="2"/>
  </r>
  <r>
    <n v="177"/>
    <x v="9"/>
    <x v="2"/>
    <x v="1"/>
    <x v="4"/>
    <n v="70"/>
    <n v="8.4"/>
    <n v="1754"/>
    <n v="4.8"/>
    <x v="4"/>
    <x v="3"/>
    <n v="8044"/>
    <n v="58913"/>
    <n v="97"/>
    <x v="25"/>
    <x v="3"/>
    <x v="1"/>
  </r>
  <r>
    <n v="178"/>
    <x v="9"/>
    <x v="4"/>
    <x v="1"/>
    <x v="3"/>
    <n v="32"/>
    <n v="6.6"/>
    <n v="1145"/>
    <n v="3.9"/>
    <x v="5"/>
    <x v="0"/>
    <n v="11680"/>
    <n v="37648"/>
    <n v="87"/>
    <x v="36"/>
    <x v="1"/>
    <x v="1"/>
  </r>
  <r>
    <n v="179"/>
    <x v="9"/>
    <x v="2"/>
    <x v="5"/>
    <x v="3"/>
    <n v="21"/>
    <n v="5.9"/>
    <n v="1990"/>
    <n v="4.9000000000000004"/>
    <x v="2"/>
    <x v="2"/>
    <n v="11265"/>
    <n v="30554"/>
    <n v="54"/>
    <x v="68"/>
    <x v="1"/>
    <x v="1"/>
  </r>
  <r>
    <n v="180"/>
    <x v="5"/>
    <x v="2"/>
    <x v="0"/>
    <x v="4"/>
    <n v="23"/>
    <n v="5.3"/>
    <n v="2810"/>
    <n v="1.6"/>
    <x v="7"/>
    <x v="4"/>
    <n v="3574"/>
    <n v="54629"/>
    <n v="100"/>
    <x v="143"/>
    <x v="3"/>
    <x v="0"/>
  </r>
  <r>
    <n v="181"/>
    <x v="6"/>
    <x v="2"/>
    <x v="5"/>
    <x v="1"/>
    <n v="58"/>
    <n v="8.1999999999999993"/>
    <n v="1066"/>
    <n v="3.4"/>
    <x v="5"/>
    <x v="3"/>
    <n v="10294"/>
    <n v="94897"/>
    <n v="54"/>
    <x v="9"/>
    <x v="1"/>
    <x v="2"/>
  </r>
  <r>
    <n v="182"/>
    <x v="7"/>
    <x v="1"/>
    <x v="4"/>
    <x v="4"/>
    <n v="26"/>
    <n v="8.6"/>
    <n v="991"/>
    <n v="4.0999999999999996"/>
    <x v="1"/>
    <x v="3"/>
    <n v="3784"/>
    <n v="32578"/>
    <n v="78"/>
    <x v="144"/>
    <x v="0"/>
    <x v="0"/>
  </r>
  <r>
    <n v="183"/>
    <x v="7"/>
    <x v="1"/>
    <x v="2"/>
    <x v="0"/>
    <n v="15"/>
    <n v="10.7"/>
    <n v="1100"/>
    <n v="1.6"/>
    <x v="0"/>
    <x v="4"/>
    <n v="11432"/>
    <n v="30793"/>
    <n v="96"/>
    <x v="1"/>
    <x v="0"/>
    <x v="2"/>
  </r>
  <r>
    <n v="184"/>
    <x v="7"/>
    <x v="4"/>
    <x v="5"/>
    <x v="1"/>
    <n v="60"/>
    <n v="4.2"/>
    <n v="2055"/>
    <n v="3.6"/>
    <x v="5"/>
    <x v="3"/>
    <n v="12963"/>
    <n v="43959"/>
    <n v="68"/>
    <x v="84"/>
    <x v="2"/>
    <x v="2"/>
  </r>
  <r>
    <n v="185"/>
    <x v="8"/>
    <x v="1"/>
    <x v="2"/>
    <x v="2"/>
    <n v="67"/>
    <n v="10.199999999999999"/>
    <n v="1928"/>
    <n v="1.6"/>
    <x v="5"/>
    <x v="2"/>
    <n v="13627"/>
    <n v="70345"/>
    <n v="76"/>
    <x v="145"/>
    <x v="3"/>
    <x v="1"/>
  </r>
  <r>
    <n v="186"/>
    <x v="8"/>
    <x v="0"/>
    <x v="2"/>
    <x v="0"/>
    <n v="74"/>
    <n v="11.5"/>
    <n v="1016"/>
    <n v="4.8"/>
    <x v="3"/>
    <x v="2"/>
    <n v="5471"/>
    <n v="40564"/>
    <n v="74"/>
    <x v="136"/>
    <x v="3"/>
    <x v="2"/>
  </r>
  <r>
    <n v="187"/>
    <x v="6"/>
    <x v="0"/>
    <x v="5"/>
    <x v="0"/>
    <n v="56"/>
    <n v="7.9"/>
    <n v="1584"/>
    <n v="2.4"/>
    <x v="3"/>
    <x v="1"/>
    <n v="5997"/>
    <n v="95127"/>
    <n v="97"/>
    <x v="94"/>
    <x v="2"/>
    <x v="2"/>
  </r>
  <r>
    <n v="188"/>
    <x v="7"/>
    <x v="1"/>
    <x v="2"/>
    <x v="4"/>
    <n v="17"/>
    <n v="9.6999999999999993"/>
    <n v="1738"/>
    <n v="2.9"/>
    <x v="2"/>
    <x v="0"/>
    <n v="9305"/>
    <n v="78775"/>
    <n v="71"/>
    <x v="146"/>
    <x v="2"/>
    <x v="1"/>
  </r>
  <r>
    <n v="189"/>
    <x v="7"/>
    <x v="4"/>
    <x v="5"/>
    <x v="3"/>
    <n v="73"/>
    <n v="10.1"/>
    <n v="1930"/>
    <n v="2.5"/>
    <x v="0"/>
    <x v="4"/>
    <n v="4688"/>
    <n v="26736"/>
    <n v="57"/>
    <x v="147"/>
    <x v="3"/>
    <x v="1"/>
  </r>
  <r>
    <n v="190"/>
    <x v="8"/>
    <x v="1"/>
    <x v="5"/>
    <x v="4"/>
    <n v="81"/>
    <n v="6.4"/>
    <n v="1307"/>
    <n v="2.5"/>
    <x v="1"/>
    <x v="3"/>
    <n v="1164"/>
    <n v="31130"/>
    <n v="67"/>
    <x v="148"/>
    <x v="1"/>
    <x v="1"/>
  </r>
  <r>
    <n v="191"/>
    <x v="9"/>
    <x v="4"/>
    <x v="3"/>
    <x v="4"/>
    <n v="63"/>
    <n v="4.9000000000000004"/>
    <n v="2664"/>
    <n v="1.5"/>
    <x v="1"/>
    <x v="0"/>
    <n v="6107"/>
    <n v="82540"/>
    <n v="88"/>
    <x v="149"/>
    <x v="0"/>
    <x v="2"/>
  </r>
  <r>
    <n v="192"/>
    <x v="9"/>
    <x v="1"/>
    <x v="4"/>
    <x v="0"/>
    <n v="11"/>
    <n v="8.5"/>
    <n v="2871"/>
    <n v="4.5999999999999996"/>
    <x v="4"/>
    <x v="0"/>
    <n v="14610"/>
    <n v="25012"/>
    <n v="77"/>
    <x v="25"/>
    <x v="0"/>
    <x v="0"/>
  </r>
  <r>
    <n v="193"/>
    <x v="7"/>
    <x v="4"/>
    <x v="0"/>
    <x v="1"/>
    <n v="47"/>
    <n v="11.9"/>
    <n v="1678"/>
    <n v="4.8"/>
    <x v="7"/>
    <x v="0"/>
    <n v="10098"/>
    <n v="93417"/>
    <n v="72"/>
    <x v="150"/>
    <x v="1"/>
    <x v="1"/>
  </r>
  <r>
    <n v="194"/>
    <x v="7"/>
    <x v="0"/>
    <x v="0"/>
    <x v="3"/>
    <n v="18"/>
    <n v="4.2"/>
    <n v="1715"/>
    <n v="3.7"/>
    <x v="4"/>
    <x v="1"/>
    <n v="7007"/>
    <n v="110596"/>
    <n v="68"/>
    <x v="151"/>
    <x v="3"/>
    <x v="1"/>
  </r>
  <r>
    <n v="195"/>
    <x v="5"/>
    <x v="0"/>
    <x v="5"/>
    <x v="3"/>
    <n v="90"/>
    <n v="5.8"/>
    <n v="2940"/>
    <n v="2.5"/>
    <x v="7"/>
    <x v="2"/>
    <n v="2385"/>
    <n v="25681"/>
    <n v="90"/>
    <x v="152"/>
    <x v="3"/>
    <x v="0"/>
  </r>
  <r>
    <n v="196"/>
    <x v="8"/>
    <x v="2"/>
    <x v="1"/>
    <x v="0"/>
    <n v="58"/>
    <n v="3.2"/>
    <n v="888"/>
    <n v="3.5"/>
    <x v="5"/>
    <x v="0"/>
    <n v="10697"/>
    <n v="64049"/>
    <n v="71"/>
    <x v="132"/>
    <x v="1"/>
    <x v="0"/>
  </r>
  <r>
    <n v="197"/>
    <x v="6"/>
    <x v="1"/>
    <x v="5"/>
    <x v="4"/>
    <n v="52"/>
    <n v="4.5999999999999996"/>
    <n v="2632"/>
    <n v="3.5"/>
    <x v="5"/>
    <x v="4"/>
    <n v="8096"/>
    <n v="66446"/>
    <n v="81"/>
    <x v="64"/>
    <x v="1"/>
    <x v="0"/>
  </r>
  <r>
    <n v="198"/>
    <x v="8"/>
    <x v="2"/>
    <x v="2"/>
    <x v="4"/>
    <n v="75"/>
    <n v="7.4"/>
    <n v="2268"/>
    <n v="2"/>
    <x v="4"/>
    <x v="1"/>
    <n v="14589"/>
    <n v="108333"/>
    <n v="79"/>
    <x v="81"/>
    <x v="3"/>
    <x v="1"/>
  </r>
  <r>
    <n v="199"/>
    <x v="8"/>
    <x v="1"/>
    <x v="5"/>
    <x v="2"/>
    <n v="49"/>
    <n v="7"/>
    <n v="1091"/>
    <n v="2.1"/>
    <x v="6"/>
    <x v="2"/>
    <n v="4286"/>
    <n v="92478"/>
    <n v="68"/>
    <x v="141"/>
    <x v="2"/>
    <x v="1"/>
  </r>
  <r>
    <n v="200"/>
    <x v="7"/>
    <x v="1"/>
    <x v="0"/>
    <x v="2"/>
    <n v="52"/>
    <n v="9.5"/>
    <n v="2335"/>
    <n v="2.1"/>
    <x v="4"/>
    <x v="3"/>
    <n v="6380"/>
    <n v="108383"/>
    <n v="50"/>
    <x v="153"/>
    <x v="2"/>
    <x v="0"/>
  </r>
  <r>
    <n v="201"/>
    <x v="9"/>
    <x v="3"/>
    <x v="4"/>
    <x v="4"/>
    <n v="69"/>
    <n v="9.4"/>
    <n v="1339"/>
    <n v="4.3"/>
    <x v="3"/>
    <x v="3"/>
    <n v="2688"/>
    <n v="40723"/>
    <n v="72"/>
    <x v="154"/>
    <x v="0"/>
    <x v="2"/>
  </r>
  <r>
    <n v="202"/>
    <x v="6"/>
    <x v="1"/>
    <x v="2"/>
    <x v="3"/>
    <n v="45"/>
    <n v="5.6"/>
    <n v="2907"/>
    <n v="2.5"/>
    <x v="1"/>
    <x v="1"/>
    <n v="10038"/>
    <n v="101444"/>
    <n v="94"/>
    <x v="155"/>
    <x v="0"/>
    <x v="2"/>
  </r>
  <r>
    <n v="203"/>
    <x v="5"/>
    <x v="2"/>
    <x v="5"/>
    <x v="4"/>
    <n v="64"/>
    <n v="7.2"/>
    <n v="816"/>
    <n v="2.8"/>
    <x v="5"/>
    <x v="0"/>
    <n v="4304"/>
    <n v="103238"/>
    <n v="63"/>
    <x v="40"/>
    <x v="3"/>
    <x v="2"/>
  </r>
  <r>
    <n v="204"/>
    <x v="6"/>
    <x v="1"/>
    <x v="0"/>
    <x v="3"/>
    <n v="57"/>
    <n v="4.4000000000000004"/>
    <n v="1169"/>
    <n v="3.9"/>
    <x v="7"/>
    <x v="3"/>
    <n v="3045"/>
    <n v="25966"/>
    <n v="60"/>
    <x v="67"/>
    <x v="2"/>
    <x v="2"/>
  </r>
  <r>
    <n v="205"/>
    <x v="9"/>
    <x v="1"/>
    <x v="5"/>
    <x v="3"/>
    <n v="60"/>
    <n v="6.6"/>
    <n v="1136"/>
    <n v="3.3"/>
    <x v="5"/>
    <x v="2"/>
    <n v="13803"/>
    <n v="54274"/>
    <n v="58"/>
    <x v="156"/>
    <x v="2"/>
    <x v="1"/>
  </r>
  <r>
    <n v="206"/>
    <x v="9"/>
    <x v="0"/>
    <x v="3"/>
    <x v="4"/>
    <n v="46"/>
    <n v="8.9"/>
    <n v="2819"/>
    <n v="2.5"/>
    <x v="5"/>
    <x v="0"/>
    <n v="3435"/>
    <n v="96462"/>
    <n v="100"/>
    <x v="157"/>
    <x v="1"/>
    <x v="2"/>
  </r>
  <r>
    <n v="207"/>
    <x v="8"/>
    <x v="4"/>
    <x v="2"/>
    <x v="0"/>
    <n v="50"/>
    <n v="5.3"/>
    <n v="1343"/>
    <n v="4.4000000000000004"/>
    <x v="1"/>
    <x v="3"/>
    <n v="8618"/>
    <n v="48857"/>
    <n v="92"/>
    <x v="158"/>
    <x v="2"/>
    <x v="1"/>
  </r>
  <r>
    <n v="208"/>
    <x v="7"/>
    <x v="2"/>
    <x v="0"/>
    <x v="0"/>
    <n v="89"/>
    <n v="6.3"/>
    <n v="1839"/>
    <n v="3.5"/>
    <x v="1"/>
    <x v="0"/>
    <n v="7982"/>
    <n v="61195"/>
    <n v="58"/>
    <x v="159"/>
    <x v="3"/>
    <x v="1"/>
  </r>
  <r>
    <n v="209"/>
    <x v="8"/>
    <x v="2"/>
    <x v="0"/>
    <x v="0"/>
    <n v="46"/>
    <n v="8.8000000000000007"/>
    <n v="2684"/>
    <n v="3.3"/>
    <x v="1"/>
    <x v="4"/>
    <n v="7799"/>
    <n v="32655"/>
    <n v="58"/>
    <x v="109"/>
    <x v="3"/>
    <x v="1"/>
  </r>
  <r>
    <n v="210"/>
    <x v="5"/>
    <x v="2"/>
    <x v="5"/>
    <x v="0"/>
    <n v="52"/>
    <n v="3.3"/>
    <n v="2987"/>
    <n v="1.8"/>
    <x v="4"/>
    <x v="4"/>
    <n v="3417"/>
    <n v="111236"/>
    <n v="88"/>
    <x v="154"/>
    <x v="0"/>
    <x v="1"/>
  </r>
  <r>
    <n v="211"/>
    <x v="9"/>
    <x v="3"/>
    <x v="3"/>
    <x v="0"/>
    <n v="63"/>
    <n v="10.5"/>
    <n v="2709"/>
    <n v="2.1"/>
    <x v="5"/>
    <x v="1"/>
    <n v="1025"/>
    <n v="21062"/>
    <n v="87"/>
    <x v="117"/>
    <x v="3"/>
    <x v="0"/>
  </r>
  <r>
    <n v="212"/>
    <x v="9"/>
    <x v="4"/>
    <x v="2"/>
    <x v="3"/>
    <n v="74"/>
    <n v="3.8"/>
    <n v="935"/>
    <n v="3"/>
    <x v="6"/>
    <x v="4"/>
    <n v="11174"/>
    <n v="36247"/>
    <n v="94"/>
    <x v="153"/>
    <x v="3"/>
    <x v="1"/>
  </r>
  <r>
    <n v="213"/>
    <x v="6"/>
    <x v="4"/>
    <x v="5"/>
    <x v="3"/>
    <n v="67"/>
    <n v="11.5"/>
    <n v="2832"/>
    <n v="4.0999999999999996"/>
    <x v="6"/>
    <x v="1"/>
    <n v="3119"/>
    <n v="52841"/>
    <n v="71"/>
    <x v="149"/>
    <x v="1"/>
    <x v="0"/>
  </r>
  <r>
    <n v="214"/>
    <x v="8"/>
    <x v="2"/>
    <x v="5"/>
    <x v="0"/>
    <n v="84"/>
    <n v="9.6999999999999993"/>
    <n v="2795"/>
    <n v="3.3"/>
    <x v="4"/>
    <x v="3"/>
    <n v="2892"/>
    <n v="118106"/>
    <n v="66"/>
    <x v="156"/>
    <x v="2"/>
    <x v="1"/>
  </r>
  <r>
    <n v="215"/>
    <x v="6"/>
    <x v="1"/>
    <x v="1"/>
    <x v="0"/>
    <n v="61"/>
    <n v="11"/>
    <n v="2613"/>
    <n v="4.0999999999999996"/>
    <x v="5"/>
    <x v="3"/>
    <n v="13976"/>
    <n v="54001"/>
    <n v="97"/>
    <x v="101"/>
    <x v="3"/>
    <x v="2"/>
  </r>
  <r>
    <n v="216"/>
    <x v="8"/>
    <x v="4"/>
    <x v="5"/>
    <x v="0"/>
    <n v="15"/>
    <n v="10.1"/>
    <n v="1691"/>
    <n v="3.9"/>
    <x v="6"/>
    <x v="3"/>
    <n v="3516"/>
    <n v="26698"/>
    <n v="61"/>
    <x v="32"/>
    <x v="2"/>
    <x v="0"/>
  </r>
  <r>
    <n v="217"/>
    <x v="5"/>
    <x v="3"/>
    <x v="0"/>
    <x v="1"/>
    <n v="52"/>
    <n v="10.4"/>
    <n v="2778"/>
    <n v="3.9"/>
    <x v="6"/>
    <x v="2"/>
    <n v="9406"/>
    <n v="83911"/>
    <n v="73"/>
    <x v="160"/>
    <x v="3"/>
    <x v="2"/>
  </r>
  <r>
    <n v="218"/>
    <x v="9"/>
    <x v="0"/>
    <x v="2"/>
    <x v="4"/>
    <n v="17"/>
    <n v="7.8"/>
    <n v="2777"/>
    <n v="4.5"/>
    <x v="3"/>
    <x v="1"/>
    <n v="14463"/>
    <n v="33802"/>
    <n v="86"/>
    <x v="151"/>
    <x v="2"/>
    <x v="0"/>
  </r>
  <r>
    <n v="219"/>
    <x v="5"/>
    <x v="3"/>
    <x v="5"/>
    <x v="3"/>
    <n v="13"/>
    <n v="8.4"/>
    <n v="1861"/>
    <n v="3.8"/>
    <x v="0"/>
    <x v="1"/>
    <n v="5941"/>
    <n v="89135"/>
    <n v="79"/>
    <x v="161"/>
    <x v="3"/>
    <x v="1"/>
  </r>
  <r>
    <n v="220"/>
    <x v="9"/>
    <x v="1"/>
    <x v="5"/>
    <x v="1"/>
    <n v="49"/>
    <n v="8.6"/>
    <n v="1387"/>
    <n v="2.4"/>
    <x v="4"/>
    <x v="4"/>
    <n v="4598"/>
    <n v="20752"/>
    <n v="86"/>
    <x v="145"/>
    <x v="2"/>
    <x v="2"/>
  </r>
  <r>
    <n v="221"/>
    <x v="9"/>
    <x v="0"/>
    <x v="5"/>
    <x v="4"/>
    <n v="77"/>
    <n v="6.3"/>
    <n v="1095"/>
    <n v="4.2"/>
    <x v="1"/>
    <x v="0"/>
    <n v="12428"/>
    <n v="34449"/>
    <n v="83"/>
    <x v="162"/>
    <x v="2"/>
    <x v="2"/>
  </r>
  <r>
    <n v="222"/>
    <x v="7"/>
    <x v="0"/>
    <x v="2"/>
    <x v="3"/>
    <n v="55"/>
    <n v="7.4"/>
    <n v="1474"/>
    <n v="2.4"/>
    <x v="7"/>
    <x v="0"/>
    <n v="5556"/>
    <n v="73611"/>
    <n v="88"/>
    <x v="163"/>
    <x v="0"/>
    <x v="2"/>
  </r>
  <r>
    <n v="223"/>
    <x v="9"/>
    <x v="3"/>
    <x v="4"/>
    <x v="1"/>
    <n v="40"/>
    <n v="6.6"/>
    <n v="980"/>
    <n v="2.4"/>
    <x v="7"/>
    <x v="1"/>
    <n v="14994"/>
    <n v="32988"/>
    <n v="64"/>
    <x v="164"/>
    <x v="2"/>
    <x v="2"/>
  </r>
  <r>
    <n v="224"/>
    <x v="9"/>
    <x v="2"/>
    <x v="0"/>
    <x v="3"/>
    <n v="13"/>
    <n v="9.1"/>
    <n v="1195"/>
    <n v="4.0999999999999996"/>
    <x v="2"/>
    <x v="1"/>
    <n v="12097"/>
    <n v="32824"/>
    <n v="53"/>
    <x v="63"/>
    <x v="1"/>
    <x v="2"/>
  </r>
  <r>
    <n v="225"/>
    <x v="9"/>
    <x v="0"/>
    <x v="2"/>
    <x v="2"/>
    <n v="60"/>
    <n v="3.8"/>
    <n v="1055"/>
    <n v="3.5"/>
    <x v="4"/>
    <x v="4"/>
    <n v="2875"/>
    <n v="109124"/>
    <n v="87"/>
    <x v="165"/>
    <x v="2"/>
    <x v="0"/>
  </r>
  <r>
    <n v="226"/>
    <x v="5"/>
    <x v="1"/>
    <x v="4"/>
    <x v="3"/>
    <n v="68"/>
    <n v="9.6999999999999993"/>
    <n v="1904"/>
    <n v="3.4"/>
    <x v="0"/>
    <x v="3"/>
    <n v="11273"/>
    <n v="62267"/>
    <n v="81"/>
    <x v="166"/>
    <x v="3"/>
    <x v="2"/>
  </r>
  <r>
    <n v="227"/>
    <x v="5"/>
    <x v="0"/>
    <x v="2"/>
    <x v="3"/>
    <n v="20"/>
    <n v="10.9"/>
    <n v="2384"/>
    <n v="3.9"/>
    <x v="2"/>
    <x v="1"/>
    <n v="4128"/>
    <n v="85690"/>
    <n v="85"/>
    <x v="167"/>
    <x v="0"/>
    <x v="1"/>
  </r>
  <r>
    <n v="228"/>
    <x v="8"/>
    <x v="1"/>
    <x v="0"/>
    <x v="0"/>
    <n v="52"/>
    <n v="6.5"/>
    <n v="1932"/>
    <n v="2.4"/>
    <x v="6"/>
    <x v="4"/>
    <n v="12966"/>
    <n v="116612"/>
    <n v="68"/>
    <x v="168"/>
    <x v="1"/>
    <x v="2"/>
  </r>
  <r>
    <n v="229"/>
    <x v="9"/>
    <x v="3"/>
    <x v="3"/>
    <x v="4"/>
    <n v="84"/>
    <n v="6.5"/>
    <n v="1936"/>
    <n v="3.1"/>
    <x v="4"/>
    <x v="1"/>
    <n v="2313"/>
    <n v="22790"/>
    <n v="76"/>
    <x v="25"/>
    <x v="2"/>
    <x v="2"/>
  </r>
  <r>
    <n v="230"/>
    <x v="7"/>
    <x v="3"/>
    <x v="2"/>
    <x v="1"/>
    <n v="41"/>
    <n v="3.7"/>
    <n v="1513"/>
    <n v="4.4000000000000004"/>
    <x v="5"/>
    <x v="2"/>
    <n v="8921"/>
    <n v="23979"/>
    <n v="78"/>
    <x v="160"/>
    <x v="3"/>
    <x v="2"/>
  </r>
  <r>
    <n v="231"/>
    <x v="9"/>
    <x v="0"/>
    <x v="4"/>
    <x v="1"/>
    <n v="79"/>
    <n v="11.7"/>
    <n v="2418"/>
    <n v="3.5"/>
    <x v="4"/>
    <x v="2"/>
    <n v="14978"/>
    <n v="79101"/>
    <n v="83"/>
    <x v="169"/>
    <x v="0"/>
    <x v="0"/>
  </r>
  <r>
    <n v="232"/>
    <x v="8"/>
    <x v="0"/>
    <x v="0"/>
    <x v="1"/>
    <n v="64"/>
    <n v="6.4"/>
    <n v="1209"/>
    <n v="3.9"/>
    <x v="1"/>
    <x v="0"/>
    <n v="13579"/>
    <n v="110660"/>
    <n v="51"/>
    <x v="130"/>
    <x v="2"/>
    <x v="0"/>
  </r>
  <r>
    <n v="233"/>
    <x v="9"/>
    <x v="0"/>
    <x v="4"/>
    <x v="4"/>
    <n v="89"/>
    <n v="8.1999999999999993"/>
    <n v="2732"/>
    <n v="3.9"/>
    <x v="0"/>
    <x v="0"/>
    <n v="9445"/>
    <n v="88954"/>
    <n v="66"/>
    <x v="170"/>
    <x v="0"/>
    <x v="1"/>
  </r>
  <r>
    <n v="234"/>
    <x v="9"/>
    <x v="3"/>
    <x v="3"/>
    <x v="1"/>
    <n v="40"/>
    <n v="8.6999999999999993"/>
    <n v="1812"/>
    <n v="2.6"/>
    <x v="2"/>
    <x v="3"/>
    <n v="11152"/>
    <n v="102972"/>
    <n v="63"/>
    <x v="171"/>
    <x v="0"/>
    <x v="0"/>
  </r>
  <r>
    <n v="235"/>
    <x v="6"/>
    <x v="2"/>
    <x v="4"/>
    <x v="2"/>
    <n v="78"/>
    <n v="6.9"/>
    <n v="2513"/>
    <n v="3.2"/>
    <x v="3"/>
    <x v="4"/>
    <n v="11142"/>
    <n v="59814"/>
    <n v="92"/>
    <x v="33"/>
    <x v="3"/>
    <x v="1"/>
  </r>
  <r>
    <n v="236"/>
    <x v="7"/>
    <x v="3"/>
    <x v="0"/>
    <x v="1"/>
    <n v="61"/>
    <n v="4.9000000000000004"/>
    <n v="1364"/>
    <n v="2.4"/>
    <x v="7"/>
    <x v="1"/>
    <n v="1606"/>
    <n v="26096"/>
    <n v="84"/>
    <x v="160"/>
    <x v="3"/>
    <x v="1"/>
  </r>
  <r>
    <n v="237"/>
    <x v="6"/>
    <x v="3"/>
    <x v="5"/>
    <x v="0"/>
    <n v="72"/>
    <n v="5.4"/>
    <n v="1031"/>
    <n v="3"/>
    <x v="2"/>
    <x v="4"/>
    <n v="3164"/>
    <n v="103569"/>
    <n v="77"/>
    <x v="141"/>
    <x v="0"/>
    <x v="1"/>
  </r>
  <r>
    <n v="238"/>
    <x v="5"/>
    <x v="2"/>
    <x v="3"/>
    <x v="1"/>
    <n v="60"/>
    <n v="3.3"/>
    <n v="1709"/>
    <n v="2.2000000000000002"/>
    <x v="7"/>
    <x v="4"/>
    <n v="6959"/>
    <n v="45318"/>
    <n v="96"/>
    <x v="84"/>
    <x v="0"/>
    <x v="2"/>
  </r>
  <r>
    <n v="239"/>
    <x v="5"/>
    <x v="4"/>
    <x v="5"/>
    <x v="2"/>
    <n v="63"/>
    <n v="11.2"/>
    <n v="1096"/>
    <n v="2.6"/>
    <x v="0"/>
    <x v="1"/>
    <n v="1476"/>
    <n v="115131"/>
    <n v="70"/>
    <x v="172"/>
    <x v="0"/>
    <x v="2"/>
  </r>
  <r>
    <n v="240"/>
    <x v="7"/>
    <x v="0"/>
    <x v="0"/>
    <x v="4"/>
    <n v="54"/>
    <n v="5.7"/>
    <n v="2224"/>
    <n v="1.7"/>
    <x v="5"/>
    <x v="0"/>
    <n v="12095"/>
    <n v="80153"/>
    <n v="72"/>
    <x v="173"/>
    <x v="2"/>
    <x v="0"/>
  </r>
  <r>
    <n v="241"/>
    <x v="9"/>
    <x v="2"/>
    <x v="5"/>
    <x v="3"/>
    <n v="10"/>
    <n v="6.7"/>
    <n v="2933"/>
    <n v="1.9"/>
    <x v="2"/>
    <x v="0"/>
    <n v="14991"/>
    <n v="38184"/>
    <n v="62"/>
    <x v="58"/>
    <x v="1"/>
    <x v="1"/>
  </r>
  <r>
    <n v="242"/>
    <x v="9"/>
    <x v="3"/>
    <x v="0"/>
    <x v="1"/>
    <n v="74"/>
    <n v="6.6"/>
    <n v="955"/>
    <n v="3.9"/>
    <x v="0"/>
    <x v="3"/>
    <n v="10231"/>
    <n v="89884"/>
    <n v="98"/>
    <x v="154"/>
    <x v="2"/>
    <x v="0"/>
  </r>
  <r>
    <n v="243"/>
    <x v="9"/>
    <x v="1"/>
    <x v="3"/>
    <x v="4"/>
    <n v="18"/>
    <n v="7"/>
    <n v="1577"/>
    <n v="3.6"/>
    <x v="4"/>
    <x v="0"/>
    <n v="1218"/>
    <n v="101211"/>
    <n v="78"/>
    <x v="174"/>
    <x v="0"/>
    <x v="0"/>
  </r>
  <r>
    <n v="244"/>
    <x v="9"/>
    <x v="1"/>
    <x v="0"/>
    <x v="1"/>
    <n v="18"/>
    <n v="4.9000000000000004"/>
    <n v="1692"/>
    <n v="3.9"/>
    <x v="4"/>
    <x v="4"/>
    <n v="2181"/>
    <n v="116637"/>
    <n v="77"/>
    <x v="46"/>
    <x v="0"/>
    <x v="1"/>
  </r>
  <r>
    <n v="245"/>
    <x v="8"/>
    <x v="1"/>
    <x v="3"/>
    <x v="1"/>
    <n v="16"/>
    <n v="10.5"/>
    <n v="1740"/>
    <n v="3.8"/>
    <x v="5"/>
    <x v="3"/>
    <n v="14006"/>
    <n v="46600"/>
    <n v="79"/>
    <x v="45"/>
    <x v="1"/>
    <x v="2"/>
  </r>
  <r>
    <n v="246"/>
    <x v="6"/>
    <x v="2"/>
    <x v="2"/>
    <x v="4"/>
    <n v="17"/>
    <n v="9.5"/>
    <n v="2470"/>
    <n v="3.1"/>
    <x v="4"/>
    <x v="3"/>
    <n v="5035"/>
    <n v="89478"/>
    <n v="56"/>
    <x v="133"/>
    <x v="1"/>
    <x v="2"/>
  </r>
  <r>
    <n v="247"/>
    <x v="5"/>
    <x v="4"/>
    <x v="0"/>
    <x v="0"/>
    <n v="87"/>
    <n v="6.8"/>
    <n v="2482"/>
    <n v="2.1"/>
    <x v="1"/>
    <x v="4"/>
    <n v="13862"/>
    <n v="68767"/>
    <n v="59"/>
    <x v="127"/>
    <x v="0"/>
    <x v="2"/>
  </r>
  <r>
    <n v="248"/>
    <x v="7"/>
    <x v="4"/>
    <x v="0"/>
    <x v="2"/>
    <n v="88"/>
    <n v="11.6"/>
    <n v="1917"/>
    <n v="2.2999999999999998"/>
    <x v="5"/>
    <x v="2"/>
    <n v="11421"/>
    <n v="54755"/>
    <n v="78"/>
    <x v="69"/>
    <x v="1"/>
    <x v="1"/>
  </r>
  <r>
    <n v="249"/>
    <x v="5"/>
    <x v="4"/>
    <x v="0"/>
    <x v="3"/>
    <n v="84"/>
    <n v="11.1"/>
    <n v="1591"/>
    <n v="4.4000000000000004"/>
    <x v="6"/>
    <x v="1"/>
    <n v="6193"/>
    <n v="78309"/>
    <n v="84"/>
    <x v="20"/>
    <x v="1"/>
    <x v="2"/>
  </r>
  <r>
    <n v="250"/>
    <x v="5"/>
    <x v="2"/>
    <x v="5"/>
    <x v="1"/>
    <n v="55"/>
    <n v="4.4000000000000004"/>
    <n v="1698"/>
    <n v="2.4"/>
    <x v="3"/>
    <x v="0"/>
    <n v="13789"/>
    <n v="72177"/>
    <n v="100"/>
    <x v="175"/>
    <x v="0"/>
    <x v="1"/>
  </r>
  <r>
    <n v="251"/>
    <x v="5"/>
    <x v="2"/>
    <x v="3"/>
    <x v="1"/>
    <n v="66"/>
    <n v="4.2"/>
    <n v="1839"/>
    <n v="2.2999999999999998"/>
    <x v="4"/>
    <x v="2"/>
    <n v="14574"/>
    <n v="65583"/>
    <n v="95"/>
    <x v="176"/>
    <x v="1"/>
    <x v="0"/>
  </r>
  <r>
    <n v="252"/>
    <x v="9"/>
    <x v="2"/>
    <x v="5"/>
    <x v="2"/>
    <n v="72"/>
    <n v="9.8000000000000007"/>
    <n v="855"/>
    <n v="2.4"/>
    <x v="3"/>
    <x v="2"/>
    <n v="11481"/>
    <n v="32677"/>
    <n v="53"/>
    <x v="177"/>
    <x v="0"/>
    <x v="2"/>
  </r>
  <r>
    <n v="253"/>
    <x v="7"/>
    <x v="3"/>
    <x v="5"/>
    <x v="4"/>
    <n v="82"/>
    <n v="10.7"/>
    <n v="1003"/>
    <n v="4.2"/>
    <x v="1"/>
    <x v="4"/>
    <n v="2522"/>
    <n v="54382"/>
    <n v="88"/>
    <x v="178"/>
    <x v="0"/>
    <x v="2"/>
  </r>
  <r>
    <n v="254"/>
    <x v="5"/>
    <x v="1"/>
    <x v="4"/>
    <x v="3"/>
    <n v="44"/>
    <n v="10.1"/>
    <n v="1267"/>
    <n v="2.2000000000000002"/>
    <x v="2"/>
    <x v="2"/>
    <n v="1238"/>
    <n v="74832"/>
    <n v="95"/>
    <x v="49"/>
    <x v="1"/>
    <x v="0"/>
  </r>
  <r>
    <n v="255"/>
    <x v="8"/>
    <x v="4"/>
    <x v="4"/>
    <x v="1"/>
    <n v="14"/>
    <n v="12"/>
    <n v="1322"/>
    <n v="1.7"/>
    <x v="3"/>
    <x v="1"/>
    <n v="5510"/>
    <n v="72477"/>
    <n v="87"/>
    <x v="179"/>
    <x v="2"/>
    <x v="2"/>
  </r>
  <r>
    <n v="256"/>
    <x v="9"/>
    <x v="1"/>
    <x v="1"/>
    <x v="0"/>
    <n v="28"/>
    <n v="5.7"/>
    <n v="2519"/>
    <n v="3.8"/>
    <x v="1"/>
    <x v="2"/>
    <n v="5663"/>
    <n v="105332"/>
    <n v="95"/>
    <x v="79"/>
    <x v="0"/>
    <x v="0"/>
  </r>
  <r>
    <n v="257"/>
    <x v="5"/>
    <x v="2"/>
    <x v="1"/>
    <x v="3"/>
    <n v="76"/>
    <n v="11.5"/>
    <n v="2822"/>
    <n v="4.2"/>
    <x v="6"/>
    <x v="1"/>
    <n v="9880"/>
    <n v="30325"/>
    <n v="73"/>
    <x v="27"/>
    <x v="0"/>
    <x v="1"/>
  </r>
  <r>
    <n v="258"/>
    <x v="9"/>
    <x v="2"/>
    <x v="2"/>
    <x v="1"/>
    <n v="12"/>
    <n v="3.6"/>
    <n v="1159"/>
    <n v="4.0999999999999996"/>
    <x v="1"/>
    <x v="2"/>
    <n v="13986"/>
    <n v="90143"/>
    <n v="68"/>
    <x v="180"/>
    <x v="0"/>
    <x v="0"/>
  </r>
  <r>
    <n v="259"/>
    <x v="9"/>
    <x v="4"/>
    <x v="0"/>
    <x v="4"/>
    <n v="19"/>
    <n v="11.4"/>
    <n v="1985"/>
    <n v="2.9"/>
    <x v="5"/>
    <x v="0"/>
    <n v="10745"/>
    <n v="52827"/>
    <n v="100"/>
    <x v="15"/>
    <x v="3"/>
    <x v="1"/>
  </r>
  <r>
    <n v="260"/>
    <x v="8"/>
    <x v="3"/>
    <x v="3"/>
    <x v="4"/>
    <n v="12"/>
    <n v="3.7"/>
    <n v="1732"/>
    <n v="4.0999999999999996"/>
    <x v="4"/>
    <x v="0"/>
    <n v="5589"/>
    <n v="64556"/>
    <n v="96"/>
    <x v="181"/>
    <x v="3"/>
    <x v="0"/>
  </r>
  <r>
    <n v="261"/>
    <x v="5"/>
    <x v="2"/>
    <x v="2"/>
    <x v="0"/>
    <n v="80"/>
    <n v="4.5"/>
    <n v="2871"/>
    <n v="4.2"/>
    <x v="7"/>
    <x v="3"/>
    <n v="2647"/>
    <n v="28832"/>
    <n v="56"/>
    <x v="144"/>
    <x v="2"/>
    <x v="1"/>
  </r>
  <r>
    <n v="262"/>
    <x v="8"/>
    <x v="0"/>
    <x v="0"/>
    <x v="3"/>
    <n v="51"/>
    <n v="8"/>
    <n v="2284"/>
    <n v="2.2999999999999998"/>
    <x v="5"/>
    <x v="1"/>
    <n v="9231"/>
    <n v="44757"/>
    <n v="97"/>
    <x v="41"/>
    <x v="3"/>
    <x v="1"/>
  </r>
  <r>
    <n v="263"/>
    <x v="7"/>
    <x v="3"/>
    <x v="0"/>
    <x v="4"/>
    <n v="37"/>
    <n v="11"/>
    <n v="2800"/>
    <n v="3.2"/>
    <x v="0"/>
    <x v="3"/>
    <n v="5346"/>
    <n v="96315"/>
    <n v="85"/>
    <x v="98"/>
    <x v="3"/>
    <x v="2"/>
  </r>
  <r>
    <n v="264"/>
    <x v="7"/>
    <x v="4"/>
    <x v="5"/>
    <x v="0"/>
    <n v="89"/>
    <n v="11.6"/>
    <n v="1548"/>
    <n v="3.6"/>
    <x v="1"/>
    <x v="0"/>
    <n v="9238"/>
    <n v="83630"/>
    <n v="68"/>
    <x v="182"/>
    <x v="3"/>
    <x v="0"/>
  </r>
  <r>
    <n v="265"/>
    <x v="5"/>
    <x v="4"/>
    <x v="4"/>
    <x v="3"/>
    <n v="77"/>
    <n v="5.4"/>
    <n v="1163"/>
    <n v="3.8"/>
    <x v="2"/>
    <x v="3"/>
    <n v="5295"/>
    <n v="96906"/>
    <n v="70"/>
    <x v="183"/>
    <x v="2"/>
    <x v="2"/>
  </r>
  <r>
    <n v="266"/>
    <x v="9"/>
    <x v="2"/>
    <x v="3"/>
    <x v="3"/>
    <n v="64"/>
    <n v="9.8000000000000007"/>
    <n v="2663"/>
    <n v="3.6"/>
    <x v="2"/>
    <x v="3"/>
    <n v="1937"/>
    <n v="111436"/>
    <n v="66"/>
    <x v="184"/>
    <x v="1"/>
    <x v="1"/>
  </r>
  <r>
    <n v="267"/>
    <x v="6"/>
    <x v="4"/>
    <x v="3"/>
    <x v="2"/>
    <n v="13"/>
    <n v="5.7"/>
    <n v="2253"/>
    <n v="2.9"/>
    <x v="2"/>
    <x v="4"/>
    <n v="13517"/>
    <n v="109358"/>
    <n v="72"/>
    <x v="47"/>
    <x v="2"/>
    <x v="2"/>
  </r>
  <r>
    <n v="268"/>
    <x v="9"/>
    <x v="3"/>
    <x v="0"/>
    <x v="2"/>
    <n v="79"/>
    <n v="4.9000000000000004"/>
    <n v="1061"/>
    <n v="4.4000000000000004"/>
    <x v="1"/>
    <x v="1"/>
    <n v="12997"/>
    <n v="72175"/>
    <n v="63"/>
    <x v="185"/>
    <x v="0"/>
    <x v="2"/>
  </r>
  <r>
    <n v="269"/>
    <x v="9"/>
    <x v="0"/>
    <x v="5"/>
    <x v="0"/>
    <n v="66"/>
    <n v="5.8"/>
    <n v="2498"/>
    <n v="4.5999999999999996"/>
    <x v="0"/>
    <x v="1"/>
    <n v="4886"/>
    <n v="64133"/>
    <n v="55"/>
    <x v="186"/>
    <x v="2"/>
    <x v="0"/>
  </r>
  <r>
    <n v="270"/>
    <x v="7"/>
    <x v="4"/>
    <x v="0"/>
    <x v="1"/>
    <n v="34"/>
    <n v="5.8"/>
    <n v="2757"/>
    <n v="1.8"/>
    <x v="4"/>
    <x v="0"/>
    <n v="6658"/>
    <n v="62187"/>
    <n v="59"/>
    <x v="93"/>
    <x v="0"/>
    <x v="1"/>
  </r>
  <r>
    <n v="271"/>
    <x v="9"/>
    <x v="2"/>
    <x v="2"/>
    <x v="0"/>
    <n v="35"/>
    <n v="10.4"/>
    <n v="2536"/>
    <n v="4.5"/>
    <x v="0"/>
    <x v="1"/>
    <n v="6085"/>
    <n v="29118"/>
    <n v="76"/>
    <x v="187"/>
    <x v="2"/>
    <x v="2"/>
  </r>
  <r>
    <n v="272"/>
    <x v="8"/>
    <x v="3"/>
    <x v="5"/>
    <x v="3"/>
    <n v="36"/>
    <n v="9.8000000000000007"/>
    <n v="1891"/>
    <n v="2"/>
    <x v="4"/>
    <x v="3"/>
    <n v="12671"/>
    <n v="104688"/>
    <n v="52"/>
    <x v="188"/>
    <x v="0"/>
    <x v="0"/>
  </r>
  <r>
    <n v="273"/>
    <x v="7"/>
    <x v="3"/>
    <x v="2"/>
    <x v="4"/>
    <n v="76"/>
    <n v="9.1"/>
    <n v="1649"/>
    <n v="4"/>
    <x v="2"/>
    <x v="1"/>
    <n v="2111"/>
    <n v="114643"/>
    <n v="59"/>
    <x v="2"/>
    <x v="2"/>
    <x v="2"/>
  </r>
  <r>
    <n v="274"/>
    <x v="8"/>
    <x v="4"/>
    <x v="4"/>
    <x v="3"/>
    <n v="45"/>
    <n v="9.6"/>
    <n v="2987"/>
    <n v="3.8"/>
    <x v="1"/>
    <x v="4"/>
    <n v="2222"/>
    <n v="23149"/>
    <n v="50"/>
    <x v="80"/>
    <x v="1"/>
    <x v="2"/>
  </r>
  <r>
    <n v="275"/>
    <x v="6"/>
    <x v="1"/>
    <x v="5"/>
    <x v="3"/>
    <n v="44"/>
    <n v="7.4"/>
    <n v="2655"/>
    <n v="2.2000000000000002"/>
    <x v="2"/>
    <x v="4"/>
    <n v="1758"/>
    <n v="25578"/>
    <n v="52"/>
    <x v="110"/>
    <x v="3"/>
    <x v="2"/>
  </r>
  <r>
    <n v="276"/>
    <x v="5"/>
    <x v="1"/>
    <x v="0"/>
    <x v="1"/>
    <n v="71"/>
    <n v="7.3"/>
    <n v="1577"/>
    <n v="1.9"/>
    <x v="1"/>
    <x v="1"/>
    <n v="5252"/>
    <n v="82793"/>
    <n v="95"/>
    <x v="21"/>
    <x v="2"/>
    <x v="1"/>
  </r>
  <r>
    <n v="277"/>
    <x v="6"/>
    <x v="0"/>
    <x v="2"/>
    <x v="0"/>
    <n v="30"/>
    <n v="7.9"/>
    <n v="2296"/>
    <n v="4.5999999999999996"/>
    <x v="3"/>
    <x v="1"/>
    <n v="1370"/>
    <n v="75793"/>
    <n v="98"/>
    <x v="189"/>
    <x v="2"/>
    <x v="1"/>
  </r>
  <r>
    <n v="278"/>
    <x v="9"/>
    <x v="0"/>
    <x v="3"/>
    <x v="0"/>
    <n v="61"/>
    <n v="7.9"/>
    <n v="1450"/>
    <n v="4"/>
    <x v="4"/>
    <x v="3"/>
    <n v="4686"/>
    <n v="95632"/>
    <n v="59"/>
    <x v="190"/>
    <x v="0"/>
    <x v="2"/>
  </r>
  <r>
    <n v="279"/>
    <x v="7"/>
    <x v="0"/>
    <x v="5"/>
    <x v="1"/>
    <n v="40"/>
    <n v="5.6"/>
    <n v="2615"/>
    <n v="3"/>
    <x v="3"/>
    <x v="4"/>
    <n v="13172"/>
    <n v="59303"/>
    <n v="54"/>
    <x v="132"/>
    <x v="1"/>
    <x v="0"/>
  </r>
  <r>
    <n v="280"/>
    <x v="7"/>
    <x v="2"/>
    <x v="2"/>
    <x v="0"/>
    <n v="82"/>
    <n v="7.1"/>
    <n v="1732"/>
    <n v="4"/>
    <x v="7"/>
    <x v="3"/>
    <n v="8006"/>
    <n v="42199"/>
    <n v="87"/>
    <x v="191"/>
    <x v="3"/>
    <x v="2"/>
  </r>
  <r>
    <n v="281"/>
    <x v="9"/>
    <x v="3"/>
    <x v="2"/>
    <x v="0"/>
    <n v="60"/>
    <n v="5.7"/>
    <n v="2625"/>
    <n v="3.4"/>
    <x v="1"/>
    <x v="3"/>
    <n v="12073"/>
    <n v="85809"/>
    <n v="65"/>
    <x v="177"/>
    <x v="1"/>
    <x v="0"/>
  </r>
  <r>
    <n v="282"/>
    <x v="5"/>
    <x v="2"/>
    <x v="5"/>
    <x v="2"/>
    <n v="59"/>
    <n v="4.3"/>
    <n v="2581"/>
    <n v="1.9"/>
    <x v="1"/>
    <x v="2"/>
    <n v="2565"/>
    <n v="49560"/>
    <n v="72"/>
    <x v="183"/>
    <x v="2"/>
    <x v="0"/>
  </r>
  <r>
    <n v="283"/>
    <x v="8"/>
    <x v="0"/>
    <x v="1"/>
    <x v="4"/>
    <n v="74"/>
    <n v="7.8"/>
    <n v="2680"/>
    <n v="1.8"/>
    <x v="5"/>
    <x v="1"/>
    <n v="3395"/>
    <n v="52888"/>
    <n v="94"/>
    <x v="192"/>
    <x v="2"/>
    <x v="1"/>
  </r>
  <r>
    <n v="284"/>
    <x v="7"/>
    <x v="0"/>
    <x v="2"/>
    <x v="0"/>
    <n v="83"/>
    <n v="4.2"/>
    <n v="2839"/>
    <n v="1.8"/>
    <x v="7"/>
    <x v="2"/>
    <n v="3037"/>
    <n v="80542"/>
    <n v="87"/>
    <x v="193"/>
    <x v="0"/>
    <x v="2"/>
  </r>
  <r>
    <n v="285"/>
    <x v="8"/>
    <x v="3"/>
    <x v="1"/>
    <x v="0"/>
    <n v="75"/>
    <n v="7.9"/>
    <n v="1633"/>
    <n v="4.0999999999999996"/>
    <x v="7"/>
    <x v="2"/>
    <n v="7863"/>
    <n v="22452"/>
    <n v="65"/>
    <x v="55"/>
    <x v="1"/>
    <x v="2"/>
  </r>
  <r>
    <n v="286"/>
    <x v="7"/>
    <x v="0"/>
    <x v="1"/>
    <x v="1"/>
    <n v="37"/>
    <n v="11.3"/>
    <n v="2708"/>
    <n v="4.3"/>
    <x v="0"/>
    <x v="0"/>
    <n v="6555"/>
    <n v="65634"/>
    <n v="55"/>
    <x v="18"/>
    <x v="2"/>
    <x v="1"/>
  </r>
  <r>
    <n v="287"/>
    <x v="5"/>
    <x v="1"/>
    <x v="2"/>
    <x v="2"/>
    <n v="11"/>
    <n v="8.5"/>
    <n v="2777"/>
    <n v="3.7"/>
    <x v="2"/>
    <x v="0"/>
    <n v="11707"/>
    <n v="114867"/>
    <n v="74"/>
    <x v="28"/>
    <x v="2"/>
    <x v="2"/>
  </r>
  <r>
    <n v="288"/>
    <x v="6"/>
    <x v="0"/>
    <x v="0"/>
    <x v="2"/>
    <n v="84"/>
    <n v="9.6999999999999993"/>
    <n v="870"/>
    <n v="2.4"/>
    <x v="3"/>
    <x v="1"/>
    <n v="13085"/>
    <n v="97310"/>
    <n v="52"/>
    <x v="187"/>
    <x v="2"/>
    <x v="2"/>
  </r>
  <r>
    <n v="289"/>
    <x v="5"/>
    <x v="3"/>
    <x v="0"/>
    <x v="2"/>
    <n v="54"/>
    <n v="3.2"/>
    <n v="1985"/>
    <n v="3"/>
    <x v="7"/>
    <x v="4"/>
    <n v="3581"/>
    <n v="61644"/>
    <n v="80"/>
    <x v="44"/>
    <x v="1"/>
    <x v="0"/>
  </r>
  <r>
    <n v="290"/>
    <x v="6"/>
    <x v="3"/>
    <x v="2"/>
    <x v="0"/>
    <n v="84"/>
    <n v="10.3"/>
    <n v="1287"/>
    <n v="1.7"/>
    <x v="4"/>
    <x v="1"/>
    <n v="1045"/>
    <n v="30830"/>
    <n v="65"/>
    <x v="77"/>
    <x v="2"/>
    <x v="1"/>
  </r>
  <r>
    <n v="291"/>
    <x v="6"/>
    <x v="2"/>
    <x v="4"/>
    <x v="3"/>
    <n v="56"/>
    <n v="8.5"/>
    <n v="2922"/>
    <n v="3.3"/>
    <x v="4"/>
    <x v="3"/>
    <n v="3480"/>
    <n v="65427"/>
    <n v="78"/>
    <x v="194"/>
    <x v="1"/>
    <x v="2"/>
  </r>
  <r>
    <n v="292"/>
    <x v="5"/>
    <x v="3"/>
    <x v="3"/>
    <x v="4"/>
    <n v="12"/>
    <n v="11.4"/>
    <n v="1288"/>
    <n v="4.2"/>
    <x v="3"/>
    <x v="1"/>
    <n v="4590"/>
    <n v="96407"/>
    <n v="69"/>
    <x v="157"/>
    <x v="0"/>
    <x v="1"/>
  </r>
  <r>
    <n v="293"/>
    <x v="6"/>
    <x v="0"/>
    <x v="4"/>
    <x v="2"/>
    <n v="40"/>
    <n v="7.3"/>
    <n v="2605"/>
    <n v="4.7"/>
    <x v="7"/>
    <x v="1"/>
    <n v="4109"/>
    <n v="25239"/>
    <n v="67"/>
    <x v="195"/>
    <x v="2"/>
    <x v="1"/>
  </r>
  <r>
    <n v="294"/>
    <x v="7"/>
    <x v="4"/>
    <x v="3"/>
    <x v="3"/>
    <n v="86"/>
    <n v="7.5"/>
    <n v="2089"/>
    <n v="2.1"/>
    <x v="1"/>
    <x v="3"/>
    <n v="2078"/>
    <n v="58358"/>
    <n v="77"/>
    <x v="196"/>
    <x v="1"/>
    <x v="1"/>
  </r>
  <r>
    <n v="295"/>
    <x v="6"/>
    <x v="2"/>
    <x v="3"/>
    <x v="4"/>
    <n v="28"/>
    <n v="4.5"/>
    <n v="839"/>
    <n v="2.2999999999999998"/>
    <x v="2"/>
    <x v="3"/>
    <n v="13011"/>
    <n v="102821"/>
    <n v="81"/>
    <x v="49"/>
    <x v="3"/>
    <x v="0"/>
  </r>
  <r>
    <n v="296"/>
    <x v="8"/>
    <x v="1"/>
    <x v="1"/>
    <x v="0"/>
    <n v="18"/>
    <n v="11.3"/>
    <n v="1240"/>
    <n v="4.2"/>
    <x v="2"/>
    <x v="4"/>
    <n v="10079"/>
    <n v="80453"/>
    <n v="99"/>
    <x v="79"/>
    <x v="0"/>
    <x v="2"/>
  </r>
  <r>
    <n v="297"/>
    <x v="6"/>
    <x v="2"/>
    <x v="2"/>
    <x v="2"/>
    <n v="46"/>
    <n v="7.1"/>
    <n v="970"/>
    <n v="4.5999999999999996"/>
    <x v="3"/>
    <x v="1"/>
    <n v="8410"/>
    <n v="115851"/>
    <n v="54"/>
    <x v="187"/>
    <x v="3"/>
    <x v="1"/>
  </r>
  <r>
    <n v="298"/>
    <x v="8"/>
    <x v="2"/>
    <x v="0"/>
    <x v="1"/>
    <n v="76"/>
    <n v="5.0999999999999996"/>
    <n v="1785"/>
    <n v="1.7"/>
    <x v="2"/>
    <x v="1"/>
    <n v="7849"/>
    <n v="99882"/>
    <n v="75"/>
    <x v="197"/>
    <x v="0"/>
    <x v="1"/>
  </r>
  <r>
    <n v="299"/>
    <x v="5"/>
    <x v="2"/>
    <x v="5"/>
    <x v="3"/>
    <n v="88"/>
    <n v="4.0999999999999996"/>
    <n v="2856"/>
    <n v="2.5"/>
    <x v="2"/>
    <x v="0"/>
    <n v="13458"/>
    <n v="86465"/>
    <n v="91"/>
    <x v="198"/>
    <x v="3"/>
    <x v="1"/>
  </r>
  <r>
    <n v="300"/>
    <x v="8"/>
    <x v="4"/>
    <x v="5"/>
    <x v="4"/>
    <n v="12"/>
    <n v="8.3000000000000007"/>
    <n v="2400"/>
    <n v="4.8"/>
    <x v="7"/>
    <x v="4"/>
    <n v="4486"/>
    <n v="44569"/>
    <n v="94"/>
    <x v="199"/>
    <x v="1"/>
    <x v="0"/>
  </r>
  <r>
    <n v="301"/>
    <x v="6"/>
    <x v="4"/>
    <x v="0"/>
    <x v="0"/>
    <n v="22"/>
    <n v="5"/>
    <n v="1755"/>
    <n v="4.3"/>
    <x v="6"/>
    <x v="3"/>
    <n v="14204"/>
    <n v="98300"/>
    <n v="96"/>
    <x v="200"/>
    <x v="3"/>
    <x v="0"/>
  </r>
  <r>
    <n v="302"/>
    <x v="8"/>
    <x v="2"/>
    <x v="3"/>
    <x v="1"/>
    <n v="27"/>
    <n v="3.9"/>
    <n v="2346"/>
    <n v="4.5"/>
    <x v="2"/>
    <x v="4"/>
    <n v="2273"/>
    <n v="72623"/>
    <n v="82"/>
    <x v="201"/>
    <x v="0"/>
    <x v="0"/>
  </r>
  <r>
    <n v="303"/>
    <x v="9"/>
    <x v="0"/>
    <x v="0"/>
    <x v="3"/>
    <n v="59"/>
    <n v="11.9"/>
    <n v="2708"/>
    <n v="3"/>
    <x v="5"/>
    <x v="3"/>
    <n v="12432"/>
    <n v="92799"/>
    <n v="54"/>
    <x v="202"/>
    <x v="1"/>
    <x v="0"/>
  </r>
  <r>
    <n v="304"/>
    <x v="7"/>
    <x v="0"/>
    <x v="4"/>
    <x v="0"/>
    <n v="30"/>
    <n v="11.5"/>
    <n v="1144"/>
    <n v="3.2"/>
    <x v="0"/>
    <x v="4"/>
    <n v="14057"/>
    <n v="50149"/>
    <n v="96"/>
    <x v="203"/>
    <x v="2"/>
    <x v="0"/>
  </r>
  <r>
    <n v="305"/>
    <x v="8"/>
    <x v="3"/>
    <x v="0"/>
    <x v="4"/>
    <n v="34"/>
    <n v="7"/>
    <n v="946"/>
    <n v="3.2"/>
    <x v="1"/>
    <x v="4"/>
    <n v="2379"/>
    <n v="84828"/>
    <n v="90"/>
    <x v="204"/>
    <x v="3"/>
    <x v="2"/>
  </r>
  <r>
    <n v="306"/>
    <x v="8"/>
    <x v="2"/>
    <x v="1"/>
    <x v="0"/>
    <n v="23"/>
    <n v="3.1"/>
    <n v="1707"/>
    <n v="3.4"/>
    <x v="4"/>
    <x v="0"/>
    <n v="1626"/>
    <n v="80012"/>
    <n v="88"/>
    <x v="13"/>
    <x v="1"/>
    <x v="1"/>
  </r>
  <r>
    <n v="307"/>
    <x v="8"/>
    <x v="2"/>
    <x v="1"/>
    <x v="4"/>
    <n v="84"/>
    <n v="8.4"/>
    <n v="2629"/>
    <n v="4.5999999999999996"/>
    <x v="3"/>
    <x v="0"/>
    <n v="10977"/>
    <n v="107858"/>
    <n v="72"/>
    <x v="205"/>
    <x v="2"/>
    <x v="1"/>
  </r>
  <r>
    <n v="308"/>
    <x v="7"/>
    <x v="0"/>
    <x v="4"/>
    <x v="4"/>
    <n v="63"/>
    <n v="3.4"/>
    <n v="2925"/>
    <n v="2"/>
    <x v="3"/>
    <x v="0"/>
    <n v="13293"/>
    <n v="34321"/>
    <n v="50"/>
    <x v="14"/>
    <x v="3"/>
    <x v="2"/>
  </r>
  <r>
    <n v="309"/>
    <x v="5"/>
    <x v="2"/>
    <x v="3"/>
    <x v="0"/>
    <n v="56"/>
    <n v="4.5999999999999996"/>
    <n v="1611"/>
    <n v="1.8"/>
    <x v="1"/>
    <x v="2"/>
    <n v="1827"/>
    <n v="27763"/>
    <n v="72"/>
    <x v="88"/>
    <x v="0"/>
    <x v="2"/>
  </r>
  <r>
    <n v="310"/>
    <x v="9"/>
    <x v="2"/>
    <x v="3"/>
    <x v="3"/>
    <n v="85"/>
    <n v="7.8"/>
    <n v="2117"/>
    <n v="2.1"/>
    <x v="5"/>
    <x v="2"/>
    <n v="5094"/>
    <n v="114698"/>
    <n v="81"/>
    <x v="206"/>
    <x v="1"/>
    <x v="1"/>
  </r>
  <r>
    <n v="311"/>
    <x v="5"/>
    <x v="3"/>
    <x v="2"/>
    <x v="2"/>
    <n v="28"/>
    <n v="11.1"/>
    <n v="2146"/>
    <n v="3.5"/>
    <x v="1"/>
    <x v="0"/>
    <n v="1171"/>
    <n v="26461"/>
    <n v="50"/>
    <x v="13"/>
    <x v="3"/>
    <x v="0"/>
  </r>
  <r>
    <n v="312"/>
    <x v="8"/>
    <x v="4"/>
    <x v="2"/>
    <x v="4"/>
    <n v="56"/>
    <n v="10.1"/>
    <n v="2288"/>
    <n v="4"/>
    <x v="0"/>
    <x v="2"/>
    <n v="1456"/>
    <n v="54925"/>
    <n v="80"/>
    <x v="12"/>
    <x v="3"/>
    <x v="1"/>
  </r>
  <r>
    <n v="313"/>
    <x v="6"/>
    <x v="1"/>
    <x v="2"/>
    <x v="4"/>
    <n v="35"/>
    <n v="3.5"/>
    <n v="1999"/>
    <n v="4.8"/>
    <x v="0"/>
    <x v="1"/>
    <n v="1976"/>
    <n v="30203"/>
    <n v="65"/>
    <x v="10"/>
    <x v="1"/>
    <x v="2"/>
  </r>
  <r>
    <n v="314"/>
    <x v="7"/>
    <x v="2"/>
    <x v="0"/>
    <x v="0"/>
    <n v="71"/>
    <n v="5"/>
    <n v="916"/>
    <n v="4.0999999999999996"/>
    <x v="1"/>
    <x v="3"/>
    <n v="7154"/>
    <n v="115439"/>
    <n v="90"/>
    <x v="118"/>
    <x v="2"/>
    <x v="2"/>
  </r>
  <r>
    <n v="315"/>
    <x v="5"/>
    <x v="0"/>
    <x v="3"/>
    <x v="0"/>
    <n v="24"/>
    <n v="11.6"/>
    <n v="1620"/>
    <n v="4.9000000000000004"/>
    <x v="0"/>
    <x v="4"/>
    <n v="13650"/>
    <n v="116923"/>
    <n v="99"/>
    <x v="207"/>
    <x v="0"/>
    <x v="0"/>
  </r>
  <r>
    <n v="316"/>
    <x v="8"/>
    <x v="4"/>
    <x v="3"/>
    <x v="3"/>
    <n v="77"/>
    <n v="10.5"/>
    <n v="2588"/>
    <n v="2.6"/>
    <x v="4"/>
    <x v="4"/>
    <n v="6475"/>
    <n v="113266"/>
    <n v="71"/>
    <x v="13"/>
    <x v="0"/>
    <x v="2"/>
  </r>
  <r>
    <n v="317"/>
    <x v="9"/>
    <x v="4"/>
    <x v="2"/>
    <x v="2"/>
    <n v="49"/>
    <n v="11"/>
    <n v="2322"/>
    <n v="4.4000000000000004"/>
    <x v="6"/>
    <x v="1"/>
    <n v="5073"/>
    <n v="116184"/>
    <n v="93"/>
    <x v="176"/>
    <x v="3"/>
    <x v="1"/>
  </r>
  <r>
    <n v="318"/>
    <x v="7"/>
    <x v="4"/>
    <x v="3"/>
    <x v="4"/>
    <n v="45"/>
    <n v="5.5"/>
    <n v="1235"/>
    <n v="1.7"/>
    <x v="6"/>
    <x v="4"/>
    <n v="11239"/>
    <n v="114087"/>
    <n v="87"/>
    <x v="75"/>
    <x v="0"/>
    <x v="1"/>
  </r>
  <r>
    <n v="319"/>
    <x v="9"/>
    <x v="1"/>
    <x v="5"/>
    <x v="1"/>
    <n v="39"/>
    <n v="6.4"/>
    <n v="2341"/>
    <n v="3.8"/>
    <x v="4"/>
    <x v="2"/>
    <n v="10768"/>
    <n v="39387"/>
    <n v="98"/>
    <x v="190"/>
    <x v="3"/>
    <x v="0"/>
  </r>
  <r>
    <n v="320"/>
    <x v="9"/>
    <x v="0"/>
    <x v="1"/>
    <x v="1"/>
    <n v="63"/>
    <n v="10.6"/>
    <n v="1566"/>
    <n v="5"/>
    <x v="5"/>
    <x v="4"/>
    <n v="5974"/>
    <n v="99314"/>
    <n v="79"/>
    <x v="164"/>
    <x v="1"/>
    <x v="1"/>
  </r>
  <r>
    <n v="321"/>
    <x v="6"/>
    <x v="3"/>
    <x v="5"/>
    <x v="0"/>
    <n v="25"/>
    <n v="10"/>
    <n v="2543"/>
    <n v="3.8"/>
    <x v="5"/>
    <x v="1"/>
    <n v="4667"/>
    <n v="109943"/>
    <n v="77"/>
    <x v="168"/>
    <x v="3"/>
    <x v="0"/>
  </r>
  <r>
    <n v="322"/>
    <x v="5"/>
    <x v="2"/>
    <x v="5"/>
    <x v="3"/>
    <n v="54"/>
    <n v="5.6"/>
    <n v="1868"/>
    <n v="2.1"/>
    <x v="0"/>
    <x v="0"/>
    <n v="12193"/>
    <n v="74309"/>
    <n v="56"/>
    <x v="37"/>
    <x v="0"/>
    <x v="1"/>
  </r>
  <r>
    <n v="323"/>
    <x v="9"/>
    <x v="0"/>
    <x v="3"/>
    <x v="1"/>
    <n v="89"/>
    <n v="10.7"/>
    <n v="2647"/>
    <n v="4.7"/>
    <x v="1"/>
    <x v="0"/>
    <n v="7421"/>
    <n v="95961"/>
    <n v="92"/>
    <x v="108"/>
    <x v="0"/>
    <x v="1"/>
  </r>
  <r>
    <n v="324"/>
    <x v="8"/>
    <x v="0"/>
    <x v="2"/>
    <x v="2"/>
    <n v="24"/>
    <n v="3.5"/>
    <n v="2001"/>
    <n v="4.0999999999999996"/>
    <x v="6"/>
    <x v="0"/>
    <n v="5526"/>
    <n v="39951"/>
    <n v="62"/>
    <x v="79"/>
    <x v="1"/>
    <x v="0"/>
  </r>
  <r>
    <n v="325"/>
    <x v="8"/>
    <x v="2"/>
    <x v="5"/>
    <x v="0"/>
    <n v="86"/>
    <n v="10.3"/>
    <n v="1883"/>
    <n v="1.6"/>
    <x v="3"/>
    <x v="4"/>
    <n v="5324"/>
    <n v="71116"/>
    <n v="92"/>
    <x v="77"/>
    <x v="3"/>
    <x v="0"/>
  </r>
  <r>
    <n v="326"/>
    <x v="9"/>
    <x v="1"/>
    <x v="5"/>
    <x v="3"/>
    <n v="81"/>
    <n v="9.9"/>
    <n v="2385"/>
    <n v="3.2"/>
    <x v="0"/>
    <x v="0"/>
    <n v="6625"/>
    <n v="68158"/>
    <n v="89"/>
    <x v="148"/>
    <x v="3"/>
    <x v="2"/>
  </r>
  <r>
    <n v="327"/>
    <x v="9"/>
    <x v="0"/>
    <x v="5"/>
    <x v="1"/>
    <n v="53"/>
    <n v="3.2"/>
    <n v="1390"/>
    <n v="2"/>
    <x v="1"/>
    <x v="1"/>
    <n v="8449"/>
    <n v="109095"/>
    <n v="80"/>
    <x v="0"/>
    <x v="2"/>
    <x v="1"/>
  </r>
  <r>
    <n v="328"/>
    <x v="8"/>
    <x v="1"/>
    <x v="1"/>
    <x v="0"/>
    <n v="23"/>
    <n v="5.8"/>
    <n v="1848"/>
    <n v="2.2999999999999998"/>
    <x v="3"/>
    <x v="2"/>
    <n v="3780"/>
    <n v="26229"/>
    <n v="65"/>
    <x v="2"/>
    <x v="3"/>
    <x v="0"/>
  </r>
  <r>
    <n v="329"/>
    <x v="7"/>
    <x v="2"/>
    <x v="4"/>
    <x v="1"/>
    <n v="46"/>
    <n v="6.7"/>
    <n v="1088"/>
    <n v="3.8"/>
    <x v="6"/>
    <x v="0"/>
    <n v="9465"/>
    <n v="112457"/>
    <n v="90"/>
    <x v="208"/>
    <x v="1"/>
    <x v="0"/>
  </r>
  <r>
    <n v="330"/>
    <x v="5"/>
    <x v="1"/>
    <x v="2"/>
    <x v="0"/>
    <n v="31"/>
    <n v="11.7"/>
    <n v="1716"/>
    <n v="3.3"/>
    <x v="2"/>
    <x v="4"/>
    <n v="10420"/>
    <n v="112339"/>
    <n v="94"/>
    <x v="27"/>
    <x v="0"/>
    <x v="2"/>
  </r>
  <r>
    <n v="331"/>
    <x v="9"/>
    <x v="3"/>
    <x v="5"/>
    <x v="3"/>
    <n v="63"/>
    <n v="3.8"/>
    <n v="2714"/>
    <n v="4.2"/>
    <x v="4"/>
    <x v="1"/>
    <n v="10812"/>
    <n v="96975"/>
    <n v="61"/>
    <x v="75"/>
    <x v="3"/>
    <x v="2"/>
  </r>
  <r>
    <n v="332"/>
    <x v="8"/>
    <x v="1"/>
    <x v="2"/>
    <x v="2"/>
    <n v="70"/>
    <n v="8.5"/>
    <n v="1374"/>
    <n v="2.2000000000000002"/>
    <x v="4"/>
    <x v="4"/>
    <n v="9088"/>
    <n v="93278"/>
    <n v="98"/>
    <x v="99"/>
    <x v="0"/>
    <x v="1"/>
  </r>
  <r>
    <n v="333"/>
    <x v="8"/>
    <x v="2"/>
    <x v="0"/>
    <x v="3"/>
    <n v="24"/>
    <n v="10.1"/>
    <n v="1042"/>
    <n v="2.7"/>
    <x v="3"/>
    <x v="4"/>
    <n v="12408"/>
    <n v="76990"/>
    <n v="97"/>
    <x v="14"/>
    <x v="3"/>
    <x v="1"/>
  </r>
  <r>
    <n v="334"/>
    <x v="9"/>
    <x v="1"/>
    <x v="2"/>
    <x v="1"/>
    <n v="50"/>
    <n v="5"/>
    <n v="2809"/>
    <n v="4.9000000000000004"/>
    <x v="6"/>
    <x v="1"/>
    <n v="10561"/>
    <n v="45970"/>
    <n v="89"/>
    <x v="209"/>
    <x v="0"/>
    <x v="1"/>
  </r>
  <r>
    <n v="335"/>
    <x v="8"/>
    <x v="3"/>
    <x v="1"/>
    <x v="4"/>
    <n v="37"/>
    <n v="10"/>
    <n v="863"/>
    <n v="4.0999999999999996"/>
    <x v="2"/>
    <x v="4"/>
    <n v="12817"/>
    <n v="92502"/>
    <n v="63"/>
    <x v="116"/>
    <x v="2"/>
    <x v="0"/>
  </r>
  <r>
    <n v="336"/>
    <x v="9"/>
    <x v="4"/>
    <x v="4"/>
    <x v="3"/>
    <n v="82"/>
    <n v="9.6"/>
    <n v="1770"/>
    <n v="5"/>
    <x v="6"/>
    <x v="3"/>
    <n v="5632"/>
    <n v="59516"/>
    <n v="68"/>
    <x v="210"/>
    <x v="3"/>
    <x v="1"/>
  </r>
  <r>
    <n v="337"/>
    <x v="8"/>
    <x v="1"/>
    <x v="3"/>
    <x v="3"/>
    <n v="89"/>
    <n v="7.5"/>
    <n v="2327"/>
    <n v="3.2"/>
    <x v="4"/>
    <x v="4"/>
    <n v="14924"/>
    <n v="98445"/>
    <n v="52"/>
    <x v="46"/>
    <x v="3"/>
    <x v="1"/>
  </r>
  <r>
    <n v="338"/>
    <x v="9"/>
    <x v="4"/>
    <x v="5"/>
    <x v="0"/>
    <n v="59"/>
    <n v="10.9"/>
    <n v="822"/>
    <n v="2.5"/>
    <x v="4"/>
    <x v="3"/>
    <n v="7072"/>
    <n v="56016"/>
    <n v="60"/>
    <x v="66"/>
    <x v="3"/>
    <x v="1"/>
  </r>
  <r>
    <n v="339"/>
    <x v="9"/>
    <x v="2"/>
    <x v="3"/>
    <x v="3"/>
    <n v="76"/>
    <n v="7.6"/>
    <n v="1661"/>
    <n v="4.5"/>
    <x v="0"/>
    <x v="4"/>
    <n v="12315"/>
    <n v="102806"/>
    <n v="78"/>
    <x v="142"/>
    <x v="2"/>
    <x v="1"/>
  </r>
  <r>
    <n v="340"/>
    <x v="8"/>
    <x v="2"/>
    <x v="3"/>
    <x v="4"/>
    <n v="89"/>
    <n v="6.6"/>
    <n v="1713"/>
    <n v="3.4"/>
    <x v="5"/>
    <x v="4"/>
    <n v="2724"/>
    <n v="37211"/>
    <n v="58"/>
    <x v="105"/>
    <x v="2"/>
    <x v="1"/>
  </r>
  <r>
    <n v="341"/>
    <x v="8"/>
    <x v="1"/>
    <x v="4"/>
    <x v="2"/>
    <n v="63"/>
    <n v="6.1"/>
    <n v="2631"/>
    <n v="3.6"/>
    <x v="7"/>
    <x v="4"/>
    <n v="12458"/>
    <n v="98209"/>
    <n v="53"/>
    <x v="140"/>
    <x v="3"/>
    <x v="1"/>
  </r>
  <r>
    <n v="342"/>
    <x v="8"/>
    <x v="3"/>
    <x v="2"/>
    <x v="3"/>
    <n v="62"/>
    <n v="11.6"/>
    <n v="2867"/>
    <n v="3.4"/>
    <x v="5"/>
    <x v="4"/>
    <n v="10672"/>
    <n v="71102"/>
    <n v="65"/>
    <x v="200"/>
    <x v="0"/>
    <x v="2"/>
  </r>
  <r>
    <n v="343"/>
    <x v="7"/>
    <x v="4"/>
    <x v="5"/>
    <x v="0"/>
    <n v="24"/>
    <n v="6.9"/>
    <n v="2636"/>
    <n v="4.4000000000000004"/>
    <x v="2"/>
    <x v="1"/>
    <n v="13420"/>
    <n v="96310"/>
    <n v="80"/>
    <x v="98"/>
    <x v="3"/>
    <x v="1"/>
  </r>
  <r>
    <n v="344"/>
    <x v="5"/>
    <x v="2"/>
    <x v="5"/>
    <x v="3"/>
    <n v="58"/>
    <n v="9.6999999999999993"/>
    <n v="2860"/>
    <n v="4.7"/>
    <x v="1"/>
    <x v="4"/>
    <n v="5716"/>
    <n v="84085"/>
    <n v="79"/>
    <x v="211"/>
    <x v="2"/>
    <x v="2"/>
  </r>
  <r>
    <n v="345"/>
    <x v="9"/>
    <x v="0"/>
    <x v="3"/>
    <x v="2"/>
    <n v="24"/>
    <n v="4.9000000000000004"/>
    <n v="1086"/>
    <n v="3.4"/>
    <x v="0"/>
    <x v="1"/>
    <n v="7978"/>
    <n v="49876"/>
    <n v="77"/>
    <x v="82"/>
    <x v="3"/>
    <x v="1"/>
  </r>
  <r>
    <n v="346"/>
    <x v="8"/>
    <x v="0"/>
    <x v="0"/>
    <x v="2"/>
    <n v="26"/>
    <n v="5.8"/>
    <n v="1037"/>
    <n v="2.7"/>
    <x v="0"/>
    <x v="0"/>
    <n v="12673"/>
    <n v="40240"/>
    <n v="82"/>
    <x v="212"/>
    <x v="0"/>
    <x v="0"/>
  </r>
  <r>
    <n v="347"/>
    <x v="8"/>
    <x v="0"/>
    <x v="1"/>
    <x v="4"/>
    <n v="62"/>
    <n v="8.5"/>
    <n v="1005"/>
    <n v="2"/>
    <x v="2"/>
    <x v="0"/>
    <n v="8942"/>
    <n v="66731"/>
    <n v="76"/>
    <x v="2"/>
    <x v="1"/>
    <x v="1"/>
  </r>
  <r>
    <n v="348"/>
    <x v="6"/>
    <x v="2"/>
    <x v="3"/>
    <x v="3"/>
    <n v="29"/>
    <n v="5.8"/>
    <n v="2935"/>
    <n v="3.9"/>
    <x v="0"/>
    <x v="1"/>
    <n v="13426"/>
    <n v="81783"/>
    <n v="90"/>
    <x v="73"/>
    <x v="2"/>
    <x v="1"/>
  </r>
  <r>
    <n v="349"/>
    <x v="6"/>
    <x v="0"/>
    <x v="4"/>
    <x v="2"/>
    <n v="57"/>
    <n v="4.4000000000000004"/>
    <n v="2833"/>
    <n v="2.2000000000000002"/>
    <x v="3"/>
    <x v="3"/>
    <n v="4353"/>
    <n v="119463"/>
    <n v="79"/>
    <x v="213"/>
    <x v="1"/>
    <x v="2"/>
  </r>
  <r>
    <n v="350"/>
    <x v="6"/>
    <x v="0"/>
    <x v="3"/>
    <x v="3"/>
    <n v="14"/>
    <n v="10.6"/>
    <n v="2161"/>
    <n v="3.7"/>
    <x v="2"/>
    <x v="0"/>
    <n v="3515"/>
    <n v="67258"/>
    <n v="63"/>
    <x v="185"/>
    <x v="3"/>
    <x v="0"/>
  </r>
  <r>
    <n v="351"/>
    <x v="8"/>
    <x v="4"/>
    <x v="5"/>
    <x v="1"/>
    <n v="22"/>
    <n v="8"/>
    <n v="1267"/>
    <n v="3.8"/>
    <x v="3"/>
    <x v="4"/>
    <n v="2902"/>
    <n v="31150"/>
    <n v="53"/>
    <x v="165"/>
    <x v="3"/>
    <x v="0"/>
  </r>
  <r>
    <n v="352"/>
    <x v="7"/>
    <x v="1"/>
    <x v="2"/>
    <x v="4"/>
    <n v="45"/>
    <n v="5.2"/>
    <n v="2526"/>
    <n v="3.4"/>
    <x v="0"/>
    <x v="4"/>
    <n v="10208"/>
    <n v="46084"/>
    <n v="75"/>
    <x v="214"/>
    <x v="3"/>
    <x v="2"/>
  </r>
  <r>
    <n v="353"/>
    <x v="7"/>
    <x v="4"/>
    <x v="1"/>
    <x v="0"/>
    <n v="53"/>
    <n v="4.4000000000000004"/>
    <n v="2887"/>
    <n v="2.7"/>
    <x v="1"/>
    <x v="3"/>
    <n v="11107"/>
    <n v="68566"/>
    <n v="77"/>
    <x v="215"/>
    <x v="3"/>
    <x v="2"/>
  </r>
  <r>
    <n v="354"/>
    <x v="6"/>
    <x v="3"/>
    <x v="1"/>
    <x v="2"/>
    <n v="49"/>
    <n v="8.8000000000000007"/>
    <n v="2539"/>
    <n v="3.6"/>
    <x v="4"/>
    <x v="4"/>
    <n v="6479"/>
    <n v="23813"/>
    <n v="81"/>
    <x v="153"/>
    <x v="0"/>
    <x v="2"/>
  </r>
  <r>
    <n v="355"/>
    <x v="5"/>
    <x v="1"/>
    <x v="3"/>
    <x v="4"/>
    <n v="35"/>
    <n v="8.6999999999999993"/>
    <n v="1932"/>
    <n v="1.6"/>
    <x v="4"/>
    <x v="0"/>
    <n v="13160"/>
    <n v="43288"/>
    <n v="66"/>
    <x v="106"/>
    <x v="0"/>
    <x v="1"/>
  </r>
  <r>
    <n v="356"/>
    <x v="6"/>
    <x v="0"/>
    <x v="4"/>
    <x v="3"/>
    <n v="13"/>
    <n v="6.6"/>
    <n v="2309"/>
    <n v="2.7"/>
    <x v="1"/>
    <x v="2"/>
    <n v="5088"/>
    <n v="118674"/>
    <n v="57"/>
    <x v="216"/>
    <x v="1"/>
    <x v="2"/>
  </r>
  <r>
    <n v="357"/>
    <x v="9"/>
    <x v="4"/>
    <x v="1"/>
    <x v="3"/>
    <n v="69"/>
    <n v="10.3"/>
    <n v="1640"/>
    <n v="2"/>
    <x v="2"/>
    <x v="1"/>
    <n v="7247"/>
    <n v="56733"/>
    <n v="89"/>
    <x v="217"/>
    <x v="3"/>
    <x v="2"/>
  </r>
  <r>
    <n v="358"/>
    <x v="7"/>
    <x v="0"/>
    <x v="0"/>
    <x v="0"/>
    <n v="26"/>
    <n v="3.4"/>
    <n v="1761"/>
    <n v="3.6"/>
    <x v="7"/>
    <x v="4"/>
    <n v="12125"/>
    <n v="76862"/>
    <n v="87"/>
    <x v="40"/>
    <x v="1"/>
    <x v="0"/>
  </r>
  <r>
    <n v="359"/>
    <x v="7"/>
    <x v="0"/>
    <x v="2"/>
    <x v="4"/>
    <n v="81"/>
    <n v="3.2"/>
    <n v="1152"/>
    <n v="3.1"/>
    <x v="3"/>
    <x v="1"/>
    <n v="8788"/>
    <n v="43553"/>
    <n v="59"/>
    <x v="161"/>
    <x v="2"/>
    <x v="0"/>
  </r>
  <r>
    <n v="360"/>
    <x v="5"/>
    <x v="4"/>
    <x v="0"/>
    <x v="3"/>
    <n v="68"/>
    <n v="8.5"/>
    <n v="1933"/>
    <n v="3.7"/>
    <x v="0"/>
    <x v="2"/>
    <n v="1692"/>
    <n v="92075"/>
    <n v="53"/>
    <x v="218"/>
    <x v="3"/>
    <x v="1"/>
  </r>
  <r>
    <n v="361"/>
    <x v="6"/>
    <x v="3"/>
    <x v="2"/>
    <x v="2"/>
    <n v="47"/>
    <n v="11.8"/>
    <n v="1327"/>
    <n v="1.7"/>
    <x v="7"/>
    <x v="0"/>
    <n v="6107"/>
    <n v="81206"/>
    <n v="57"/>
    <x v="47"/>
    <x v="1"/>
    <x v="2"/>
  </r>
  <r>
    <n v="362"/>
    <x v="5"/>
    <x v="1"/>
    <x v="4"/>
    <x v="1"/>
    <n v="13"/>
    <n v="5.9"/>
    <n v="1833"/>
    <n v="2"/>
    <x v="6"/>
    <x v="1"/>
    <n v="12392"/>
    <n v="40120"/>
    <n v="51"/>
    <x v="219"/>
    <x v="0"/>
    <x v="2"/>
  </r>
  <r>
    <n v="363"/>
    <x v="6"/>
    <x v="4"/>
    <x v="4"/>
    <x v="3"/>
    <n v="21"/>
    <n v="6.5"/>
    <n v="1882"/>
    <n v="1.8"/>
    <x v="1"/>
    <x v="2"/>
    <n v="8258"/>
    <n v="96353"/>
    <n v="90"/>
    <x v="220"/>
    <x v="2"/>
    <x v="1"/>
  </r>
  <r>
    <n v="364"/>
    <x v="8"/>
    <x v="4"/>
    <x v="0"/>
    <x v="3"/>
    <n v="56"/>
    <n v="4.0999999999999996"/>
    <n v="2684"/>
    <n v="2.6"/>
    <x v="2"/>
    <x v="1"/>
    <n v="10874"/>
    <n v="95958"/>
    <n v="81"/>
    <x v="24"/>
    <x v="3"/>
    <x v="0"/>
  </r>
  <r>
    <n v="365"/>
    <x v="8"/>
    <x v="4"/>
    <x v="5"/>
    <x v="4"/>
    <n v="86"/>
    <n v="3.3"/>
    <n v="2945"/>
    <n v="3.4"/>
    <x v="1"/>
    <x v="4"/>
    <n v="10494"/>
    <n v="94775"/>
    <n v="93"/>
    <x v="94"/>
    <x v="3"/>
    <x v="1"/>
  </r>
  <r>
    <n v="366"/>
    <x v="7"/>
    <x v="4"/>
    <x v="4"/>
    <x v="0"/>
    <n v="85"/>
    <n v="8.4"/>
    <n v="1194"/>
    <n v="3.7"/>
    <x v="3"/>
    <x v="0"/>
    <n v="14495"/>
    <n v="87143"/>
    <n v="54"/>
    <x v="56"/>
    <x v="2"/>
    <x v="1"/>
  </r>
  <r>
    <n v="367"/>
    <x v="6"/>
    <x v="0"/>
    <x v="0"/>
    <x v="3"/>
    <n v="72"/>
    <n v="6.4"/>
    <n v="2980"/>
    <n v="3.2"/>
    <x v="4"/>
    <x v="3"/>
    <n v="4384"/>
    <n v="80794"/>
    <n v="84"/>
    <x v="221"/>
    <x v="2"/>
    <x v="1"/>
  </r>
  <r>
    <n v="368"/>
    <x v="6"/>
    <x v="1"/>
    <x v="4"/>
    <x v="3"/>
    <n v="43"/>
    <n v="6.2"/>
    <n v="1824"/>
    <n v="2.1"/>
    <x v="2"/>
    <x v="4"/>
    <n v="9162"/>
    <n v="50384"/>
    <n v="83"/>
    <x v="222"/>
    <x v="2"/>
    <x v="0"/>
  </r>
  <r>
    <n v="369"/>
    <x v="7"/>
    <x v="1"/>
    <x v="2"/>
    <x v="4"/>
    <n v="40"/>
    <n v="8.9"/>
    <n v="2996"/>
    <n v="4.4000000000000004"/>
    <x v="1"/>
    <x v="4"/>
    <n v="1351"/>
    <n v="43358"/>
    <n v="83"/>
    <x v="103"/>
    <x v="1"/>
    <x v="0"/>
  </r>
  <r>
    <n v="370"/>
    <x v="9"/>
    <x v="4"/>
    <x v="5"/>
    <x v="1"/>
    <n v="32"/>
    <n v="7.7"/>
    <n v="1380"/>
    <n v="4"/>
    <x v="7"/>
    <x v="1"/>
    <n v="2098"/>
    <n v="108584"/>
    <n v="79"/>
    <x v="209"/>
    <x v="3"/>
    <x v="2"/>
  </r>
  <r>
    <n v="371"/>
    <x v="7"/>
    <x v="2"/>
    <x v="3"/>
    <x v="4"/>
    <n v="80"/>
    <n v="7.1"/>
    <n v="1299"/>
    <n v="4.3"/>
    <x v="4"/>
    <x v="1"/>
    <n v="8089"/>
    <n v="75531"/>
    <n v="93"/>
    <x v="223"/>
    <x v="2"/>
    <x v="0"/>
  </r>
  <r>
    <n v="372"/>
    <x v="9"/>
    <x v="0"/>
    <x v="5"/>
    <x v="4"/>
    <n v="54"/>
    <n v="7.6"/>
    <n v="2477"/>
    <n v="2.2000000000000002"/>
    <x v="7"/>
    <x v="0"/>
    <n v="12471"/>
    <n v="67518"/>
    <n v="64"/>
    <x v="224"/>
    <x v="1"/>
    <x v="2"/>
  </r>
  <r>
    <n v="373"/>
    <x v="6"/>
    <x v="3"/>
    <x v="0"/>
    <x v="4"/>
    <n v="22"/>
    <n v="8.1999999999999993"/>
    <n v="2397"/>
    <n v="3.6"/>
    <x v="6"/>
    <x v="4"/>
    <n v="12669"/>
    <n v="42900"/>
    <n v="52"/>
    <x v="126"/>
    <x v="1"/>
    <x v="0"/>
  </r>
  <r>
    <n v="374"/>
    <x v="5"/>
    <x v="3"/>
    <x v="5"/>
    <x v="1"/>
    <n v="55"/>
    <n v="3.6"/>
    <n v="850"/>
    <n v="4.8"/>
    <x v="2"/>
    <x v="4"/>
    <n v="2680"/>
    <n v="67619"/>
    <n v="83"/>
    <x v="207"/>
    <x v="3"/>
    <x v="0"/>
  </r>
  <r>
    <n v="375"/>
    <x v="5"/>
    <x v="1"/>
    <x v="3"/>
    <x v="0"/>
    <n v="41"/>
    <n v="9.5"/>
    <n v="1427"/>
    <n v="3"/>
    <x v="5"/>
    <x v="0"/>
    <n v="11357"/>
    <n v="49533"/>
    <n v="77"/>
    <x v="17"/>
    <x v="1"/>
    <x v="2"/>
  </r>
  <r>
    <n v="376"/>
    <x v="8"/>
    <x v="4"/>
    <x v="4"/>
    <x v="4"/>
    <n v="75"/>
    <n v="6"/>
    <n v="900"/>
    <n v="2.1"/>
    <x v="1"/>
    <x v="4"/>
    <n v="1616"/>
    <n v="46606"/>
    <n v="93"/>
    <x v="106"/>
    <x v="0"/>
    <x v="0"/>
  </r>
  <r>
    <n v="377"/>
    <x v="9"/>
    <x v="4"/>
    <x v="4"/>
    <x v="4"/>
    <n v="49"/>
    <n v="4.9000000000000004"/>
    <n v="1906"/>
    <n v="5"/>
    <x v="4"/>
    <x v="1"/>
    <n v="3029"/>
    <n v="101687"/>
    <n v="53"/>
    <x v="225"/>
    <x v="0"/>
    <x v="1"/>
  </r>
  <r>
    <n v="378"/>
    <x v="6"/>
    <x v="4"/>
    <x v="0"/>
    <x v="2"/>
    <n v="75"/>
    <n v="9.1"/>
    <n v="2776"/>
    <n v="2"/>
    <x v="3"/>
    <x v="1"/>
    <n v="1130"/>
    <n v="38686"/>
    <n v="84"/>
    <x v="226"/>
    <x v="2"/>
    <x v="1"/>
  </r>
  <r>
    <n v="379"/>
    <x v="7"/>
    <x v="0"/>
    <x v="0"/>
    <x v="4"/>
    <n v="49"/>
    <n v="7.7"/>
    <n v="893"/>
    <n v="3.1"/>
    <x v="1"/>
    <x v="1"/>
    <n v="3912"/>
    <n v="69220"/>
    <n v="52"/>
    <x v="183"/>
    <x v="1"/>
    <x v="1"/>
  </r>
  <r>
    <n v="380"/>
    <x v="7"/>
    <x v="2"/>
    <x v="1"/>
    <x v="2"/>
    <n v="90"/>
    <n v="9.9"/>
    <n v="864"/>
    <n v="4.8"/>
    <x v="6"/>
    <x v="0"/>
    <n v="3698"/>
    <n v="81671"/>
    <n v="85"/>
    <x v="30"/>
    <x v="0"/>
    <x v="2"/>
  </r>
  <r>
    <n v="381"/>
    <x v="9"/>
    <x v="1"/>
    <x v="2"/>
    <x v="1"/>
    <n v="31"/>
    <n v="11.6"/>
    <n v="2100"/>
    <n v="2.4"/>
    <x v="6"/>
    <x v="3"/>
    <n v="2257"/>
    <n v="105357"/>
    <n v="91"/>
    <x v="227"/>
    <x v="0"/>
    <x v="2"/>
  </r>
  <r>
    <n v="382"/>
    <x v="9"/>
    <x v="0"/>
    <x v="0"/>
    <x v="0"/>
    <n v="43"/>
    <n v="10.3"/>
    <n v="1121"/>
    <n v="1.8"/>
    <x v="6"/>
    <x v="2"/>
    <n v="1275"/>
    <n v="114444"/>
    <n v="78"/>
    <x v="41"/>
    <x v="0"/>
    <x v="1"/>
  </r>
  <r>
    <n v="383"/>
    <x v="9"/>
    <x v="0"/>
    <x v="2"/>
    <x v="3"/>
    <n v="12"/>
    <n v="4.2"/>
    <n v="2206"/>
    <n v="1.6"/>
    <x v="0"/>
    <x v="3"/>
    <n v="5275"/>
    <n v="64492"/>
    <n v="55"/>
    <x v="68"/>
    <x v="2"/>
    <x v="2"/>
  </r>
  <r>
    <n v="384"/>
    <x v="8"/>
    <x v="4"/>
    <x v="1"/>
    <x v="4"/>
    <n v="36"/>
    <n v="4.9000000000000004"/>
    <n v="1799"/>
    <n v="4.7"/>
    <x v="0"/>
    <x v="0"/>
    <n v="10952"/>
    <n v="86577"/>
    <n v="54"/>
    <x v="228"/>
    <x v="3"/>
    <x v="2"/>
  </r>
  <r>
    <n v="385"/>
    <x v="7"/>
    <x v="1"/>
    <x v="4"/>
    <x v="1"/>
    <n v="51"/>
    <n v="10.199999999999999"/>
    <n v="2908"/>
    <n v="4.5"/>
    <x v="5"/>
    <x v="1"/>
    <n v="9573"/>
    <n v="78078"/>
    <n v="68"/>
    <x v="229"/>
    <x v="0"/>
    <x v="2"/>
  </r>
  <r>
    <n v="386"/>
    <x v="6"/>
    <x v="0"/>
    <x v="4"/>
    <x v="3"/>
    <n v="31"/>
    <n v="3.6"/>
    <n v="1090"/>
    <n v="2.2999999999999998"/>
    <x v="5"/>
    <x v="1"/>
    <n v="8275"/>
    <n v="83171"/>
    <n v="83"/>
    <x v="162"/>
    <x v="1"/>
    <x v="0"/>
  </r>
  <r>
    <n v="387"/>
    <x v="5"/>
    <x v="3"/>
    <x v="2"/>
    <x v="0"/>
    <n v="67"/>
    <n v="6.3"/>
    <n v="1037"/>
    <n v="1.7"/>
    <x v="6"/>
    <x v="1"/>
    <n v="11850"/>
    <n v="108529"/>
    <n v="56"/>
    <x v="171"/>
    <x v="1"/>
    <x v="1"/>
  </r>
  <r>
    <n v="388"/>
    <x v="5"/>
    <x v="3"/>
    <x v="2"/>
    <x v="0"/>
    <n v="21"/>
    <n v="3.4"/>
    <n v="1500"/>
    <n v="3.3"/>
    <x v="6"/>
    <x v="0"/>
    <n v="11580"/>
    <n v="94273"/>
    <n v="51"/>
    <x v="2"/>
    <x v="0"/>
    <x v="1"/>
  </r>
  <r>
    <n v="389"/>
    <x v="6"/>
    <x v="0"/>
    <x v="2"/>
    <x v="0"/>
    <n v="13"/>
    <n v="8.3000000000000007"/>
    <n v="2929"/>
    <n v="4.8"/>
    <x v="5"/>
    <x v="4"/>
    <n v="13484"/>
    <n v="75865"/>
    <n v="88"/>
    <x v="23"/>
    <x v="0"/>
    <x v="0"/>
  </r>
  <r>
    <n v="390"/>
    <x v="7"/>
    <x v="2"/>
    <x v="5"/>
    <x v="2"/>
    <n v="40"/>
    <n v="8.4"/>
    <n v="1848"/>
    <n v="2"/>
    <x v="4"/>
    <x v="4"/>
    <n v="11401"/>
    <n v="69877"/>
    <n v="82"/>
    <x v="230"/>
    <x v="0"/>
    <x v="1"/>
  </r>
  <r>
    <n v="391"/>
    <x v="9"/>
    <x v="4"/>
    <x v="2"/>
    <x v="3"/>
    <n v="44"/>
    <n v="3.4"/>
    <n v="1181"/>
    <n v="4.7"/>
    <x v="3"/>
    <x v="4"/>
    <n v="1468"/>
    <n v="22829"/>
    <n v="100"/>
    <x v="231"/>
    <x v="0"/>
    <x v="1"/>
  </r>
  <r>
    <n v="392"/>
    <x v="8"/>
    <x v="0"/>
    <x v="4"/>
    <x v="1"/>
    <n v="70"/>
    <n v="3.3"/>
    <n v="1884"/>
    <n v="3.8"/>
    <x v="4"/>
    <x v="2"/>
    <n v="4430"/>
    <n v="56530"/>
    <n v="72"/>
    <x v="125"/>
    <x v="1"/>
    <x v="1"/>
  </r>
  <r>
    <n v="393"/>
    <x v="9"/>
    <x v="2"/>
    <x v="4"/>
    <x v="1"/>
    <n v="23"/>
    <n v="11.1"/>
    <n v="2230"/>
    <n v="4.8"/>
    <x v="1"/>
    <x v="2"/>
    <n v="12559"/>
    <n v="41433"/>
    <n v="59"/>
    <x v="232"/>
    <x v="0"/>
    <x v="2"/>
  </r>
  <r>
    <n v="394"/>
    <x v="9"/>
    <x v="1"/>
    <x v="4"/>
    <x v="0"/>
    <n v="88"/>
    <n v="5"/>
    <n v="991"/>
    <n v="2.9"/>
    <x v="6"/>
    <x v="2"/>
    <n v="2513"/>
    <n v="75895"/>
    <n v="68"/>
    <x v="204"/>
    <x v="2"/>
    <x v="1"/>
  </r>
  <r>
    <n v="395"/>
    <x v="9"/>
    <x v="2"/>
    <x v="1"/>
    <x v="2"/>
    <n v="79"/>
    <n v="6.4"/>
    <n v="2338"/>
    <n v="1.8"/>
    <x v="3"/>
    <x v="1"/>
    <n v="1316"/>
    <n v="67807"/>
    <n v="50"/>
    <x v="233"/>
    <x v="1"/>
    <x v="2"/>
  </r>
  <r>
    <n v="396"/>
    <x v="5"/>
    <x v="3"/>
    <x v="1"/>
    <x v="4"/>
    <n v="49"/>
    <n v="9.8000000000000007"/>
    <n v="1622"/>
    <n v="3"/>
    <x v="4"/>
    <x v="3"/>
    <n v="2752"/>
    <n v="79417"/>
    <n v="56"/>
    <x v="234"/>
    <x v="2"/>
    <x v="2"/>
  </r>
  <r>
    <n v="397"/>
    <x v="7"/>
    <x v="4"/>
    <x v="4"/>
    <x v="4"/>
    <n v="24"/>
    <n v="11.5"/>
    <n v="1278"/>
    <n v="2.7"/>
    <x v="1"/>
    <x v="2"/>
    <n v="9424"/>
    <n v="32978"/>
    <n v="90"/>
    <x v="63"/>
    <x v="0"/>
    <x v="1"/>
  </r>
  <r>
    <n v="398"/>
    <x v="5"/>
    <x v="1"/>
    <x v="5"/>
    <x v="1"/>
    <n v="24"/>
    <n v="9.4"/>
    <n v="1536"/>
    <n v="2"/>
    <x v="1"/>
    <x v="1"/>
    <n v="13528"/>
    <n v="117416"/>
    <n v="89"/>
    <x v="70"/>
    <x v="3"/>
    <x v="2"/>
  </r>
  <r>
    <n v="399"/>
    <x v="6"/>
    <x v="0"/>
    <x v="0"/>
    <x v="2"/>
    <n v="66"/>
    <n v="5.4"/>
    <n v="1030"/>
    <n v="4.5"/>
    <x v="7"/>
    <x v="3"/>
    <n v="4568"/>
    <n v="32193"/>
    <n v="52"/>
    <x v="235"/>
    <x v="1"/>
    <x v="2"/>
  </r>
  <r>
    <n v="400"/>
    <x v="8"/>
    <x v="4"/>
    <x v="3"/>
    <x v="3"/>
    <n v="26"/>
    <n v="7.4"/>
    <n v="2079"/>
    <n v="1.6"/>
    <x v="2"/>
    <x v="0"/>
    <n v="5696"/>
    <n v="38701"/>
    <n v="83"/>
    <x v="188"/>
    <x v="3"/>
    <x v="0"/>
  </r>
  <r>
    <n v="401"/>
    <x v="8"/>
    <x v="2"/>
    <x v="2"/>
    <x v="0"/>
    <n v="11"/>
    <n v="10.3"/>
    <n v="845"/>
    <n v="1.7"/>
    <x v="2"/>
    <x v="1"/>
    <n v="13716"/>
    <n v="118512"/>
    <n v="87"/>
    <x v="100"/>
    <x v="1"/>
    <x v="2"/>
  </r>
  <r>
    <n v="402"/>
    <x v="9"/>
    <x v="0"/>
    <x v="3"/>
    <x v="0"/>
    <n v="80"/>
    <n v="4.4000000000000004"/>
    <n v="1894"/>
    <n v="1.7"/>
    <x v="4"/>
    <x v="3"/>
    <n v="5177"/>
    <n v="60065"/>
    <n v="80"/>
    <x v="236"/>
    <x v="2"/>
    <x v="0"/>
  </r>
  <r>
    <n v="403"/>
    <x v="8"/>
    <x v="3"/>
    <x v="3"/>
    <x v="0"/>
    <n v="59"/>
    <n v="7.4"/>
    <n v="1479"/>
    <n v="4.2"/>
    <x v="5"/>
    <x v="1"/>
    <n v="13613"/>
    <n v="94833"/>
    <n v="85"/>
    <x v="218"/>
    <x v="3"/>
    <x v="0"/>
  </r>
  <r>
    <n v="404"/>
    <x v="9"/>
    <x v="4"/>
    <x v="1"/>
    <x v="2"/>
    <n v="69"/>
    <n v="7.4"/>
    <n v="1344"/>
    <n v="4.5999999999999996"/>
    <x v="6"/>
    <x v="0"/>
    <n v="9076"/>
    <n v="51935"/>
    <n v="93"/>
    <x v="104"/>
    <x v="0"/>
    <x v="2"/>
  </r>
  <r>
    <n v="405"/>
    <x v="5"/>
    <x v="2"/>
    <x v="2"/>
    <x v="4"/>
    <n v="44"/>
    <n v="4.0999999999999996"/>
    <n v="1993"/>
    <n v="2.9"/>
    <x v="6"/>
    <x v="0"/>
    <n v="3453"/>
    <n v="64969"/>
    <n v="73"/>
    <x v="35"/>
    <x v="3"/>
    <x v="1"/>
  </r>
  <r>
    <n v="406"/>
    <x v="8"/>
    <x v="2"/>
    <x v="1"/>
    <x v="1"/>
    <n v="76"/>
    <n v="11.9"/>
    <n v="1765"/>
    <n v="4.9000000000000004"/>
    <x v="2"/>
    <x v="0"/>
    <n v="14581"/>
    <n v="51396"/>
    <n v="77"/>
    <x v="84"/>
    <x v="1"/>
    <x v="2"/>
  </r>
  <r>
    <n v="407"/>
    <x v="9"/>
    <x v="1"/>
    <x v="5"/>
    <x v="1"/>
    <n v="37"/>
    <n v="11.2"/>
    <n v="2915"/>
    <n v="1.9"/>
    <x v="4"/>
    <x v="0"/>
    <n v="3376"/>
    <n v="20345"/>
    <n v="58"/>
    <x v="237"/>
    <x v="0"/>
    <x v="2"/>
  </r>
  <r>
    <n v="408"/>
    <x v="6"/>
    <x v="3"/>
    <x v="1"/>
    <x v="1"/>
    <n v="85"/>
    <n v="4.5"/>
    <n v="989"/>
    <n v="3.4"/>
    <x v="1"/>
    <x v="2"/>
    <n v="8292"/>
    <n v="92671"/>
    <n v="57"/>
    <x v="27"/>
    <x v="0"/>
    <x v="2"/>
  </r>
  <r>
    <n v="409"/>
    <x v="5"/>
    <x v="4"/>
    <x v="1"/>
    <x v="2"/>
    <n v="74"/>
    <n v="10.3"/>
    <n v="2873"/>
    <n v="2.6"/>
    <x v="3"/>
    <x v="2"/>
    <n v="14314"/>
    <n v="88715"/>
    <n v="54"/>
    <x v="7"/>
    <x v="1"/>
    <x v="0"/>
  </r>
  <r>
    <n v="410"/>
    <x v="5"/>
    <x v="3"/>
    <x v="3"/>
    <x v="3"/>
    <n v="54"/>
    <n v="7.6"/>
    <n v="1780"/>
    <n v="4.9000000000000004"/>
    <x v="7"/>
    <x v="3"/>
    <n v="11191"/>
    <n v="69968"/>
    <n v="57"/>
    <x v="109"/>
    <x v="2"/>
    <x v="2"/>
  </r>
  <r>
    <n v="411"/>
    <x v="9"/>
    <x v="2"/>
    <x v="1"/>
    <x v="0"/>
    <n v="80"/>
    <n v="6.6"/>
    <n v="2048"/>
    <n v="3.5"/>
    <x v="6"/>
    <x v="3"/>
    <n v="14575"/>
    <n v="31011"/>
    <n v="72"/>
    <x v="159"/>
    <x v="1"/>
    <x v="1"/>
  </r>
  <r>
    <n v="412"/>
    <x v="7"/>
    <x v="0"/>
    <x v="3"/>
    <x v="3"/>
    <n v="10"/>
    <n v="10"/>
    <n v="1699"/>
    <n v="2.9"/>
    <x v="2"/>
    <x v="2"/>
    <n v="12702"/>
    <n v="46145"/>
    <n v="75"/>
    <x v="210"/>
    <x v="1"/>
    <x v="1"/>
  </r>
  <r>
    <n v="413"/>
    <x v="7"/>
    <x v="2"/>
    <x v="1"/>
    <x v="1"/>
    <n v="14"/>
    <n v="7.5"/>
    <n v="1328"/>
    <n v="3.6"/>
    <x v="3"/>
    <x v="2"/>
    <n v="3519"/>
    <n v="35765"/>
    <n v="58"/>
    <x v="103"/>
    <x v="0"/>
    <x v="0"/>
  </r>
  <r>
    <n v="414"/>
    <x v="7"/>
    <x v="1"/>
    <x v="1"/>
    <x v="1"/>
    <n v="38"/>
    <n v="9.6999999999999993"/>
    <n v="2885"/>
    <n v="4.4000000000000004"/>
    <x v="6"/>
    <x v="4"/>
    <n v="1986"/>
    <n v="78005"/>
    <n v="92"/>
    <x v="217"/>
    <x v="3"/>
    <x v="0"/>
  </r>
  <r>
    <n v="415"/>
    <x v="8"/>
    <x v="3"/>
    <x v="0"/>
    <x v="3"/>
    <n v="59"/>
    <n v="11.5"/>
    <n v="2967"/>
    <n v="3.4"/>
    <x v="4"/>
    <x v="2"/>
    <n v="2602"/>
    <n v="21016"/>
    <n v="77"/>
    <x v="238"/>
    <x v="3"/>
    <x v="1"/>
  </r>
  <r>
    <n v="416"/>
    <x v="7"/>
    <x v="0"/>
    <x v="0"/>
    <x v="3"/>
    <n v="21"/>
    <n v="6.1"/>
    <n v="920"/>
    <n v="3.1"/>
    <x v="2"/>
    <x v="0"/>
    <n v="14356"/>
    <n v="55588"/>
    <n v="85"/>
    <x v="239"/>
    <x v="1"/>
    <x v="2"/>
  </r>
  <r>
    <n v="417"/>
    <x v="6"/>
    <x v="1"/>
    <x v="5"/>
    <x v="4"/>
    <n v="71"/>
    <n v="9.1999999999999993"/>
    <n v="1838"/>
    <n v="3.6"/>
    <x v="1"/>
    <x v="4"/>
    <n v="10348"/>
    <n v="23326"/>
    <n v="96"/>
    <x v="52"/>
    <x v="3"/>
    <x v="1"/>
  </r>
  <r>
    <n v="418"/>
    <x v="7"/>
    <x v="3"/>
    <x v="1"/>
    <x v="3"/>
    <n v="57"/>
    <n v="9.1"/>
    <n v="1692"/>
    <n v="4.8"/>
    <x v="4"/>
    <x v="0"/>
    <n v="11860"/>
    <n v="41029"/>
    <n v="64"/>
    <x v="240"/>
    <x v="0"/>
    <x v="0"/>
  </r>
  <r>
    <n v="419"/>
    <x v="5"/>
    <x v="4"/>
    <x v="4"/>
    <x v="3"/>
    <n v="16"/>
    <n v="3.6"/>
    <n v="1561"/>
    <n v="4.3"/>
    <x v="2"/>
    <x v="3"/>
    <n v="11239"/>
    <n v="115594"/>
    <n v="54"/>
    <x v="212"/>
    <x v="2"/>
    <x v="0"/>
  </r>
  <r>
    <n v="420"/>
    <x v="7"/>
    <x v="0"/>
    <x v="2"/>
    <x v="3"/>
    <n v="81"/>
    <n v="4.8"/>
    <n v="1255"/>
    <n v="4.3"/>
    <x v="0"/>
    <x v="0"/>
    <n v="7272"/>
    <n v="87725"/>
    <n v="95"/>
    <x v="78"/>
    <x v="1"/>
    <x v="1"/>
  </r>
  <r>
    <n v="421"/>
    <x v="9"/>
    <x v="4"/>
    <x v="5"/>
    <x v="3"/>
    <n v="63"/>
    <n v="5.5"/>
    <n v="2396"/>
    <n v="3.1"/>
    <x v="6"/>
    <x v="2"/>
    <n v="5100"/>
    <n v="47713"/>
    <n v="55"/>
    <x v="53"/>
    <x v="0"/>
    <x v="0"/>
  </r>
  <r>
    <n v="422"/>
    <x v="7"/>
    <x v="0"/>
    <x v="5"/>
    <x v="0"/>
    <n v="66"/>
    <n v="9"/>
    <n v="2339"/>
    <n v="4.5"/>
    <x v="1"/>
    <x v="4"/>
    <n v="9589"/>
    <n v="29195"/>
    <n v="73"/>
    <x v="65"/>
    <x v="3"/>
    <x v="0"/>
  </r>
  <r>
    <n v="423"/>
    <x v="9"/>
    <x v="2"/>
    <x v="4"/>
    <x v="0"/>
    <n v="56"/>
    <n v="7.5"/>
    <n v="2025"/>
    <n v="4"/>
    <x v="5"/>
    <x v="4"/>
    <n v="13143"/>
    <n v="30773"/>
    <n v="78"/>
    <x v="138"/>
    <x v="3"/>
    <x v="1"/>
  </r>
  <r>
    <n v="424"/>
    <x v="7"/>
    <x v="0"/>
    <x v="5"/>
    <x v="2"/>
    <n v="51"/>
    <n v="9.8000000000000007"/>
    <n v="2903"/>
    <n v="2"/>
    <x v="3"/>
    <x v="1"/>
    <n v="12614"/>
    <n v="74581"/>
    <n v="99"/>
    <x v="241"/>
    <x v="0"/>
    <x v="1"/>
  </r>
  <r>
    <n v="425"/>
    <x v="5"/>
    <x v="3"/>
    <x v="0"/>
    <x v="0"/>
    <n v="77"/>
    <n v="4.7"/>
    <n v="1432"/>
    <n v="4.3"/>
    <x v="0"/>
    <x v="3"/>
    <n v="3216"/>
    <n v="108643"/>
    <n v="100"/>
    <x v="242"/>
    <x v="1"/>
    <x v="0"/>
  </r>
  <r>
    <n v="426"/>
    <x v="9"/>
    <x v="2"/>
    <x v="2"/>
    <x v="1"/>
    <n v="67"/>
    <n v="10.6"/>
    <n v="2211"/>
    <n v="4.3"/>
    <x v="0"/>
    <x v="4"/>
    <n v="8578"/>
    <n v="65685"/>
    <n v="77"/>
    <x v="38"/>
    <x v="0"/>
    <x v="0"/>
  </r>
  <r>
    <n v="427"/>
    <x v="7"/>
    <x v="2"/>
    <x v="3"/>
    <x v="2"/>
    <n v="87"/>
    <n v="3.9"/>
    <n v="1036"/>
    <n v="2.2000000000000002"/>
    <x v="4"/>
    <x v="3"/>
    <n v="4615"/>
    <n v="76326"/>
    <n v="100"/>
    <x v="67"/>
    <x v="0"/>
    <x v="0"/>
  </r>
  <r>
    <n v="428"/>
    <x v="6"/>
    <x v="0"/>
    <x v="3"/>
    <x v="1"/>
    <n v="31"/>
    <n v="8.1"/>
    <n v="1003"/>
    <n v="2.1"/>
    <x v="3"/>
    <x v="1"/>
    <n v="9640"/>
    <n v="61978"/>
    <n v="84"/>
    <x v="196"/>
    <x v="2"/>
    <x v="2"/>
  </r>
  <r>
    <n v="429"/>
    <x v="5"/>
    <x v="4"/>
    <x v="4"/>
    <x v="3"/>
    <n v="14"/>
    <n v="5.8"/>
    <n v="2738"/>
    <n v="2.2000000000000002"/>
    <x v="7"/>
    <x v="0"/>
    <n v="3888"/>
    <n v="44735"/>
    <n v="64"/>
    <x v="157"/>
    <x v="2"/>
    <x v="0"/>
  </r>
  <r>
    <n v="430"/>
    <x v="7"/>
    <x v="2"/>
    <x v="2"/>
    <x v="0"/>
    <n v="83"/>
    <n v="9.6"/>
    <n v="1628"/>
    <n v="4.9000000000000004"/>
    <x v="6"/>
    <x v="0"/>
    <n v="5636"/>
    <n v="117968"/>
    <n v="52"/>
    <x v="139"/>
    <x v="2"/>
    <x v="0"/>
  </r>
  <r>
    <n v="431"/>
    <x v="6"/>
    <x v="0"/>
    <x v="3"/>
    <x v="4"/>
    <n v="55"/>
    <n v="8.6999999999999993"/>
    <n v="980"/>
    <n v="2.1"/>
    <x v="4"/>
    <x v="3"/>
    <n v="10125"/>
    <n v="99536"/>
    <n v="86"/>
    <x v="198"/>
    <x v="3"/>
    <x v="1"/>
  </r>
  <r>
    <n v="432"/>
    <x v="8"/>
    <x v="3"/>
    <x v="1"/>
    <x v="2"/>
    <n v="20"/>
    <n v="5.8"/>
    <n v="995"/>
    <n v="3.3"/>
    <x v="4"/>
    <x v="3"/>
    <n v="14311"/>
    <n v="29037"/>
    <n v="52"/>
    <x v="132"/>
    <x v="3"/>
    <x v="0"/>
  </r>
  <r>
    <n v="433"/>
    <x v="6"/>
    <x v="2"/>
    <x v="0"/>
    <x v="3"/>
    <n v="19"/>
    <n v="11.4"/>
    <n v="1862"/>
    <n v="4.7"/>
    <x v="3"/>
    <x v="2"/>
    <n v="4024"/>
    <n v="34311"/>
    <n v="78"/>
    <x v="224"/>
    <x v="1"/>
    <x v="1"/>
  </r>
  <r>
    <n v="434"/>
    <x v="6"/>
    <x v="4"/>
    <x v="3"/>
    <x v="3"/>
    <n v="11"/>
    <n v="6.5"/>
    <n v="2633"/>
    <n v="3"/>
    <x v="3"/>
    <x v="3"/>
    <n v="8942"/>
    <n v="105000"/>
    <n v="53"/>
    <x v="7"/>
    <x v="3"/>
    <x v="1"/>
  </r>
  <r>
    <n v="435"/>
    <x v="6"/>
    <x v="1"/>
    <x v="4"/>
    <x v="1"/>
    <n v="30"/>
    <n v="4.4000000000000004"/>
    <n v="2552"/>
    <n v="1.7"/>
    <x v="3"/>
    <x v="2"/>
    <n v="12881"/>
    <n v="76601"/>
    <n v="87"/>
    <x v="243"/>
    <x v="2"/>
    <x v="1"/>
  </r>
  <r>
    <n v="436"/>
    <x v="5"/>
    <x v="4"/>
    <x v="5"/>
    <x v="3"/>
    <n v="48"/>
    <n v="6.4"/>
    <n v="1935"/>
    <n v="3.7"/>
    <x v="5"/>
    <x v="1"/>
    <n v="6447"/>
    <n v="118285"/>
    <n v="100"/>
    <x v="182"/>
    <x v="3"/>
    <x v="2"/>
  </r>
  <r>
    <n v="437"/>
    <x v="8"/>
    <x v="0"/>
    <x v="0"/>
    <x v="0"/>
    <n v="18"/>
    <n v="8.3000000000000007"/>
    <n v="2444"/>
    <n v="4.9000000000000004"/>
    <x v="5"/>
    <x v="0"/>
    <n v="10067"/>
    <n v="117991"/>
    <n v="78"/>
    <x v="244"/>
    <x v="2"/>
    <x v="1"/>
  </r>
  <r>
    <n v="438"/>
    <x v="9"/>
    <x v="2"/>
    <x v="1"/>
    <x v="4"/>
    <n v="46"/>
    <n v="10.3"/>
    <n v="1517"/>
    <n v="3.9"/>
    <x v="6"/>
    <x v="1"/>
    <n v="6622"/>
    <n v="71499"/>
    <n v="54"/>
    <x v="101"/>
    <x v="3"/>
    <x v="1"/>
  </r>
  <r>
    <n v="439"/>
    <x v="7"/>
    <x v="4"/>
    <x v="3"/>
    <x v="1"/>
    <n v="61"/>
    <n v="10"/>
    <n v="817"/>
    <n v="3.4"/>
    <x v="5"/>
    <x v="3"/>
    <n v="8216"/>
    <n v="84611"/>
    <n v="61"/>
    <x v="87"/>
    <x v="1"/>
    <x v="0"/>
  </r>
  <r>
    <n v="440"/>
    <x v="9"/>
    <x v="3"/>
    <x v="3"/>
    <x v="2"/>
    <n v="89"/>
    <n v="8.3000000000000007"/>
    <n v="2123"/>
    <n v="1.9"/>
    <x v="7"/>
    <x v="1"/>
    <n v="9933"/>
    <n v="49792"/>
    <n v="67"/>
    <x v="245"/>
    <x v="2"/>
    <x v="2"/>
  </r>
  <r>
    <n v="441"/>
    <x v="7"/>
    <x v="3"/>
    <x v="4"/>
    <x v="1"/>
    <n v="52"/>
    <n v="11.7"/>
    <n v="2068"/>
    <n v="3.5"/>
    <x v="1"/>
    <x v="3"/>
    <n v="4045"/>
    <n v="76704"/>
    <n v="58"/>
    <x v="246"/>
    <x v="2"/>
    <x v="0"/>
  </r>
  <r>
    <n v="442"/>
    <x v="8"/>
    <x v="1"/>
    <x v="5"/>
    <x v="3"/>
    <n v="75"/>
    <n v="4.5999999999999996"/>
    <n v="1123"/>
    <n v="3.3"/>
    <x v="7"/>
    <x v="2"/>
    <n v="3855"/>
    <n v="88933"/>
    <n v="78"/>
    <x v="116"/>
    <x v="1"/>
    <x v="2"/>
  </r>
  <r>
    <n v="443"/>
    <x v="8"/>
    <x v="1"/>
    <x v="4"/>
    <x v="4"/>
    <n v="28"/>
    <n v="4.7"/>
    <n v="2187"/>
    <n v="3"/>
    <x v="3"/>
    <x v="4"/>
    <n v="7045"/>
    <n v="33607"/>
    <n v="98"/>
    <x v="247"/>
    <x v="3"/>
    <x v="0"/>
  </r>
  <r>
    <n v="444"/>
    <x v="6"/>
    <x v="1"/>
    <x v="5"/>
    <x v="1"/>
    <n v="75"/>
    <n v="7.4"/>
    <n v="805"/>
    <n v="4.5"/>
    <x v="7"/>
    <x v="4"/>
    <n v="14981"/>
    <n v="40284"/>
    <n v="70"/>
    <x v="188"/>
    <x v="3"/>
    <x v="2"/>
  </r>
  <r>
    <n v="445"/>
    <x v="7"/>
    <x v="3"/>
    <x v="2"/>
    <x v="3"/>
    <n v="44"/>
    <n v="8.9"/>
    <n v="2903"/>
    <n v="4.0999999999999996"/>
    <x v="4"/>
    <x v="1"/>
    <n v="8951"/>
    <n v="70236"/>
    <n v="67"/>
    <x v="151"/>
    <x v="0"/>
    <x v="1"/>
  </r>
  <r>
    <n v="446"/>
    <x v="9"/>
    <x v="3"/>
    <x v="4"/>
    <x v="4"/>
    <n v="60"/>
    <n v="8.8000000000000007"/>
    <n v="1500"/>
    <n v="2.5"/>
    <x v="3"/>
    <x v="0"/>
    <n v="12037"/>
    <n v="75122"/>
    <n v="83"/>
    <x v="248"/>
    <x v="3"/>
    <x v="1"/>
  </r>
  <r>
    <n v="447"/>
    <x v="8"/>
    <x v="0"/>
    <x v="0"/>
    <x v="2"/>
    <n v="74"/>
    <n v="10.8"/>
    <n v="2748"/>
    <n v="4"/>
    <x v="0"/>
    <x v="4"/>
    <n v="6075"/>
    <n v="67376"/>
    <n v="51"/>
    <x v="214"/>
    <x v="2"/>
    <x v="1"/>
  </r>
  <r>
    <n v="448"/>
    <x v="8"/>
    <x v="1"/>
    <x v="3"/>
    <x v="4"/>
    <n v="83"/>
    <n v="4"/>
    <n v="1472"/>
    <n v="2.7"/>
    <x v="0"/>
    <x v="0"/>
    <n v="10930"/>
    <n v="115144"/>
    <n v="78"/>
    <x v="101"/>
    <x v="0"/>
    <x v="1"/>
  </r>
  <r>
    <n v="449"/>
    <x v="7"/>
    <x v="1"/>
    <x v="1"/>
    <x v="1"/>
    <n v="19"/>
    <n v="7.9"/>
    <n v="1955"/>
    <n v="3.8"/>
    <x v="0"/>
    <x v="2"/>
    <n v="4572"/>
    <n v="83687"/>
    <n v="95"/>
    <x v="13"/>
    <x v="0"/>
    <x v="0"/>
  </r>
  <r>
    <n v="450"/>
    <x v="5"/>
    <x v="3"/>
    <x v="4"/>
    <x v="3"/>
    <n v="73"/>
    <n v="4.4000000000000004"/>
    <n v="2451"/>
    <n v="4.3"/>
    <x v="0"/>
    <x v="3"/>
    <n v="4262"/>
    <n v="32682"/>
    <n v="90"/>
    <x v="151"/>
    <x v="3"/>
    <x v="0"/>
  </r>
  <r>
    <n v="451"/>
    <x v="5"/>
    <x v="4"/>
    <x v="2"/>
    <x v="1"/>
    <n v="44"/>
    <n v="7.4"/>
    <n v="2828"/>
    <n v="1.9"/>
    <x v="4"/>
    <x v="3"/>
    <n v="14079"/>
    <n v="49109"/>
    <n v="98"/>
    <x v="81"/>
    <x v="0"/>
    <x v="2"/>
  </r>
  <r>
    <n v="452"/>
    <x v="8"/>
    <x v="0"/>
    <x v="3"/>
    <x v="0"/>
    <n v="10"/>
    <n v="4.2"/>
    <n v="2003"/>
    <n v="3.6"/>
    <x v="4"/>
    <x v="1"/>
    <n v="14683"/>
    <n v="62707"/>
    <n v="65"/>
    <x v="92"/>
    <x v="0"/>
    <x v="0"/>
  </r>
  <r>
    <n v="453"/>
    <x v="7"/>
    <x v="1"/>
    <x v="1"/>
    <x v="4"/>
    <n v="47"/>
    <n v="8.1"/>
    <n v="1380"/>
    <n v="4.2"/>
    <x v="5"/>
    <x v="0"/>
    <n v="11481"/>
    <n v="52863"/>
    <n v="54"/>
    <x v="23"/>
    <x v="2"/>
    <x v="0"/>
  </r>
  <r>
    <n v="454"/>
    <x v="8"/>
    <x v="4"/>
    <x v="0"/>
    <x v="3"/>
    <n v="39"/>
    <n v="4.3"/>
    <n v="1142"/>
    <n v="4.7"/>
    <x v="7"/>
    <x v="1"/>
    <n v="12383"/>
    <n v="66075"/>
    <n v="84"/>
    <x v="85"/>
    <x v="1"/>
    <x v="0"/>
  </r>
  <r>
    <n v="455"/>
    <x v="5"/>
    <x v="1"/>
    <x v="0"/>
    <x v="3"/>
    <n v="69"/>
    <n v="3.6"/>
    <n v="1983"/>
    <n v="2.6"/>
    <x v="3"/>
    <x v="2"/>
    <n v="8690"/>
    <n v="77435"/>
    <n v="92"/>
    <x v="135"/>
    <x v="2"/>
    <x v="1"/>
  </r>
  <r>
    <n v="456"/>
    <x v="9"/>
    <x v="0"/>
    <x v="2"/>
    <x v="2"/>
    <n v="14"/>
    <n v="4.3"/>
    <n v="2004"/>
    <n v="3.8"/>
    <x v="6"/>
    <x v="0"/>
    <n v="10225"/>
    <n v="73325"/>
    <n v="52"/>
    <x v="57"/>
    <x v="3"/>
    <x v="2"/>
  </r>
  <r>
    <n v="457"/>
    <x v="7"/>
    <x v="3"/>
    <x v="4"/>
    <x v="3"/>
    <n v="63"/>
    <n v="10.3"/>
    <n v="2737"/>
    <n v="3.4"/>
    <x v="2"/>
    <x v="3"/>
    <n v="4803"/>
    <n v="86816"/>
    <n v="93"/>
    <x v="229"/>
    <x v="1"/>
    <x v="0"/>
  </r>
  <r>
    <n v="458"/>
    <x v="9"/>
    <x v="3"/>
    <x v="1"/>
    <x v="2"/>
    <n v="56"/>
    <n v="8.8000000000000007"/>
    <n v="2682"/>
    <n v="3.1"/>
    <x v="7"/>
    <x v="1"/>
    <n v="10210"/>
    <n v="41984"/>
    <n v="86"/>
    <x v="170"/>
    <x v="2"/>
    <x v="1"/>
  </r>
  <r>
    <n v="459"/>
    <x v="9"/>
    <x v="1"/>
    <x v="1"/>
    <x v="4"/>
    <n v="63"/>
    <n v="5.8"/>
    <n v="1080"/>
    <n v="2.4"/>
    <x v="6"/>
    <x v="2"/>
    <n v="5398"/>
    <n v="109443"/>
    <n v="76"/>
    <x v="185"/>
    <x v="1"/>
    <x v="1"/>
  </r>
  <r>
    <n v="460"/>
    <x v="7"/>
    <x v="0"/>
    <x v="0"/>
    <x v="3"/>
    <n v="49"/>
    <n v="6.7"/>
    <n v="1065"/>
    <n v="4.2"/>
    <x v="7"/>
    <x v="0"/>
    <n v="4092"/>
    <n v="91977"/>
    <n v="64"/>
    <x v="236"/>
    <x v="1"/>
    <x v="0"/>
  </r>
  <r>
    <n v="461"/>
    <x v="8"/>
    <x v="2"/>
    <x v="1"/>
    <x v="2"/>
    <n v="68"/>
    <n v="8.5"/>
    <n v="1241"/>
    <n v="2.2000000000000002"/>
    <x v="5"/>
    <x v="3"/>
    <n v="3138"/>
    <n v="85101"/>
    <n v="83"/>
    <x v="74"/>
    <x v="1"/>
    <x v="0"/>
  </r>
  <r>
    <n v="462"/>
    <x v="6"/>
    <x v="0"/>
    <x v="0"/>
    <x v="0"/>
    <n v="22"/>
    <n v="5.8"/>
    <n v="2349"/>
    <n v="2.6"/>
    <x v="0"/>
    <x v="3"/>
    <n v="4416"/>
    <n v="90378"/>
    <n v="65"/>
    <x v="65"/>
    <x v="2"/>
    <x v="0"/>
  </r>
  <r>
    <n v="463"/>
    <x v="9"/>
    <x v="4"/>
    <x v="1"/>
    <x v="4"/>
    <n v="41"/>
    <n v="3.3"/>
    <n v="2950"/>
    <n v="2.8"/>
    <x v="5"/>
    <x v="2"/>
    <n v="5141"/>
    <n v="29633"/>
    <n v="84"/>
    <x v="8"/>
    <x v="0"/>
    <x v="1"/>
  </r>
  <r>
    <n v="464"/>
    <x v="7"/>
    <x v="2"/>
    <x v="1"/>
    <x v="0"/>
    <n v="76"/>
    <n v="7.5"/>
    <n v="1078"/>
    <n v="2.9"/>
    <x v="2"/>
    <x v="1"/>
    <n v="10868"/>
    <n v="100335"/>
    <n v="53"/>
    <x v="141"/>
    <x v="0"/>
    <x v="1"/>
  </r>
  <r>
    <n v="465"/>
    <x v="6"/>
    <x v="4"/>
    <x v="4"/>
    <x v="1"/>
    <n v="24"/>
    <n v="6.3"/>
    <n v="1854"/>
    <n v="3.5"/>
    <x v="3"/>
    <x v="1"/>
    <n v="14034"/>
    <n v="20668"/>
    <n v="70"/>
    <x v="115"/>
    <x v="0"/>
    <x v="2"/>
  </r>
  <r>
    <n v="466"/>
    <x v="6"/>
    <x v="1"/>
    <x v="4"/>
    <x v="1"/>
    <n v="22"/>
    <n v="5.5"/>
    <n v="2619"/>
    <n v="4.5999999999999996"/>
    <x v="4"/>
    <x v="0"/>
    <n v="12688"/>
    <n v="50437"/>
    <n v="72"/>
    <x v="103"/>
    <x v="2"/>
    <x v="1"/>
  </r>
  <r>
    <n v="467"/>
    <x v="9"/>
    <x v="1"/>
    <x v="4"/>
    <x v="1"/>
    <n v="46"/>
    <n v="7.9"/>
    <n v="2540"/>
    <n v="1.7"/>
    <x v="0"/>
    <x v="0"/>
    <n v="13718"/>
    <n v="105560"/>
    <n v="77"/>
    <x v="249"/>
    <x v="3"/>
    <x v="1"/>
  </r>
  <r>
    <n v="468"/>
    <x v="8"/>
    <x v="0"/>
    <x v="3"/>
    <x v="3"/>
    <n v="37"/>
    <n v="6.7"/>
    <n v="2901"/>
    <n v="4"/>
    <x v="6"/>
    <x v="2"/>
    <n v="1927"/>
    <n v="96047"/>
    <n v="71"/>
    <x v="250"/>
    <x v="2"/>
    <x v="1"/>
  </r>
  <r>
    <n v="469"/>
    <x v="9"/>
    <x v="4"/>
    <x v="1"/>
    <x v="3"/>
    <n v="51"/>
    <n v="11.7"/>
    <n v="1272"/>
    <n v="1.7"/>
    <x v="4"/>
    <x v="1"/>
    <n v="13720"/>
    <n v="92121"/>
    <n v="87"/>
    <x v="29"/>
    <x v="0"/>
    <x v="1"/>
  </r>
  <r>
    <n v="470"/>
    <x v="7"/>
    <x v="0"/>
    <x v="2"/>
    <x v="3"/>
    <n v="63"/>
    <n v="6.7"/>
    <n v="1354"/>
    <n v="2.2999999999999998"/>
    <x v="4"/>
    <x v="4"/>
    <n v="7004"/>
    <n v="93150"/>
    <n v="67"/>
    <x v="251"/>
    <x v="0"/>
    <x v="0"/>
  </r>
  <r>
    <n v="471"/>
    <x v="8"/>
    <x v="2"/>
    <x v="1"/>
    <x v="2"/>
    <n v="23"/>
    <n v="10.199999999999999"/>
    <n v="1012"/>
    <n v="1.7"/>
    <x v="7"/>
    <x v="0"/>
    <n v="9832"/>
    <n v="57680"/>
    <n v="75"/>
    <x v="213"/>
    <x v="3"/>
    <x v="1"/>
  </r>
  <r>
    <n v="472"/>
    <x v="6"/>
    <x v="4"/>
    <x v="2"/>
    <x v="4"/>
    <n v="10"/>
    <n v="4.9000000000000004"/>
    <n v="1145"/>
    <n v="1.5"/>
    <x v="7"/>
    <x v="4"/>
    <n v="7514"/>
    <n v="28278"/>
    <n v="95"/>
    <x v="121"/>
    <x v="1"/>
    <x v="0"/>
  </r>
  <r>
    <n v="473"/>
    <x v="5"/>
    <x v="0"/>
    <x v="2"/>
    <x v="0"/>
    <n v="23"/>
    <n v="5.7"/>
    <n v="2837"/>
    <n v="3.7"/>
    <x v="2"/>
    <x v="0"/>
    <n v="4489"/>
    <n v="43014"/>
    <n v="98"/>
    <x v="162"/>
    <x v="2"/>
    <x v="0"/>
  </r>
  <r>
    <n v="474"/>
    <x v="6"/>
    <x v="0"/>
    <x v="2"/>
    <x v="0"/>
    <n v="21"/>
    <n v="8.8000000000000007"/>
    <n v="1968"/>
    <n v="4.0999999999999996"/>
    <x v="2"/>
    <x v="0"/>
    <n v="8477"/>
    <n v="56353"/>
    <n v="70"/>
    <x v="195"/>
    <x v="0"/>
    <x v="2"/>
  </r>
  <r>
    <n v="475"/>
    <x v="6"/>
    <x v="1"/>
    <x v="5"/>
    <x v="1"/>
    <n v="38"/>
    <n v="4"/>
    <n v="1721"/>
    <n v="3.8"/>
    <x v="1"/>
    <x v="1"/>
    <n v="13785"/>
    <n v="68223"/>
    <n v="81"/>
    <x v="252"/>
    <x v="3"/>
    <x v="1"/>
  </r>
  <r>
    <n v="476"/>
    <x v="7"/>
    <x v="3"/>
    <x v="1"/>
    <x v="4"/>
    <n v="55"/>
    <n v="6.8"/>
    <n v="2800"/>
    <n v="4"/>
    <x v="3"/>
    <x v="4"/>
    <n v="1484"/>
    <n v="97025"/>
    <n v="91"/>
    <x v="23"/>
    <x v="3"/>
    <x v="1"/>
  </r>
  <r>
    <n v="477"/>
    <x v="8"/>
    <x v="0"/>
    <x v="3"/>
    <x v="3"/>
    <n v="36"/>
    <n v="6.8"/>
    <n v="1929"/>
    <n v="2"/>
    <x v="7"/>
    <x v="4"/>
    <n v="1633"/>
    <n v="94583"/>
    <n v="71"/>
    <x v="65"/>
    <x v="2"/>
    <x v="0"/>
  </r>
  <r>
    <n v="478"/>
    <x v="8"/>
    <x v="1"/>
    <x v="2"/>
    <x v="0"/>
    <n v="54"/>
    <n v="9.1999999999999993"/>
    <n v="1509"/>
    <n v="1.7"/>
    <x v="7"/>
    <x v="2"/>
    <n v="7510"/>
    <n v="93939"/>
    <n v="65"/>
    <x v="165"/>
    <x v="3"/>
    <x v="1"/>
  </r>
  <r>
    <n v="479"/>
    <x v="9"/>
    <x v="1"/>
    <x v="2"/>
    <x v="1"/>
    <n v="66"/>
    <n v="8.9"/>
    <n v="2886"/>
    <n v="3.3"/>
    <x v="7"/>
    <x v="0"/>
    <n v="5934"/>
    <n v="101856"/>
    <n v="65"/>
    <x v="131"/>
    <x v="1"/>
    <x v="0"/>
  </r>
  <r>
    <n v="480"/>
    <x v="8"/>
    <x v="3"/>
    <x v="5"/>
    <x v="0"/>
    <n v="11"/>
    <n v="11.8"/>
    <n v="2262"/>
    <n v="3.4"/>
    <x v="6"/>
    <x v="4"/>
    <n v="7412"/>
    <n v="74697"/>
    <n v="67"/>
    <x v="156"/>
    <x v="3"/>
    <x v="0"/>
  </r>
  <r>
    <n v="481"/>
    <x v="8"/>
    <x v="1"/>
    <x v="2"/>
    <x v="0"/>
    <n v="75"/>
    <n v="4.4000000000000004"/>
    <n v="990"/>
    <n v="3.5"/>
    <x v="3"/>
    <x v="2"/>
    <n v="10356"/>
    <n v="22404"/>
    <n v="98"/>
    <x v="253"/>
    <x v="1"/>
    <x v="2"/>
  </r>
  <r>
    <n v="482"/>
    <x v="8"/>
    <x v="3"/>
    <x v="4"/>
    <x v="2"/>
    <n v="69"/>
    <n v="7.3"/>
    <n v="1342"/>
    <n v="4.7"/>
    <x v="1"/>
    <x v="1"/>
    <n v="14594"/>
    <n v="20244"/>
    <n v="66"/>
    <x v="56"/>
    <x v="0"/>
    <x v="2"/>
  </r>
  <r>
    <n v="483"/>
    <x v="5"/>
    <x v="0"/>
    <x v="5"/>
    <x v="4"/>
    <n v="12"/>
    <n v="9.6"/>
    <n v="2483"/>
    <n v="3.4"/>
    <x v="6"/>
    <x v="2"/>
    <n v="7596"/>
    <n v="62670"/>
    <n v="83"/>
    <x v="254"/>
    <x v="1"/>
    <x v="2"/>
  </r>
  <r>
    <n v="484"/>
    <x v="7"/>
    <x v="1"/>
    <x v="0"/>
    <x v="2"/>
    <n v="62"/>
    <n v="3.3"/>
    <n v="2778"/>
    <n v="4.9000000000000004"/>
    <x v="5"/>
    <x v="2"/>
    <n v="14503"/>
    <n v="33906"/>
    <n v="93"/>
    <x v="255"/>
    <x v="2"/>
    <x v="0"/>
  </r>
  <r>
    <n v="485"/>
    <x v="5"/>
    <x v="3"/>
    <x v="1"/>
    <x v="0"/>
    <n v="23"/>
    <n v="11.8"/>
    <n v="2635"/>
    <n v="2.7"/>
    <x v="7"/>
    <x v="3"/>
    <n v="11162"/>
    <n v="102159"/>
    <n v="92"/>
    <x v="106"/>
    <x v="3"/>
    <x v="2"/>
  </r>
  <r>
    <n v="486"/>
    <x v="6"/>
    <x v="2"/>
    <x v="2"/>
    <x v="2"/>
    <n v="90"/>
    <n v="11.2"/>
    <n v="1988"/>
    <n v="4"/>
    <x v="5"/>
    <x v="2"/>
    <n v="9206"/>
    <n v="36604"/>
    <n v="77"/>
    <x v="22"/>
    <x v="3"/>
    <x v="1"/>
  </r>
  <r>
    <n v="487"/>
    <x v="8"/>
    <x v="0"/>
    <x v="5"/>
    <x v="3"/>
    <n v="37"/>
    <n v="5.0999999999999996"/>
    <n v="2327"/>
    <n v="4.5999999999999996"/>
    <x v="7"/>
    <x v="4"/>
    <n v="3988"/>
    <n v="41133"/>
    <n v="67"/>
    <x v="184"/>
    <x v="0"/>
    <x v="2"/>
  </r>
  <r>
    <n v="488"/>
    <x v="8"/>
    <x v="2"/>
    <x v="4"/>
    <x v="0"/>
    <n v="10"/>
    <n v="5.2"/>
    <n v="2935"/>
    <n v="3"/>
    <x v="4"/>
    <x v="4"/>
    <n v="5106"/>
    <n v="74777"/>
    <n v="63"/>
    <x v="256"/>
    <x v="1"/>
    <x v="0"/>
  </r>
  <r>
    <n v="489"/>
    <x v="9"/>
    <x v="4"/>
    <x v="1"/>
    <x v="3"/>
    <n v="73"/>
    <n v="10.5"/>
    <n v="980"/>
    <n v="4"/>
    <x v="1"/>
    <x v="4"/>
    <n v="1190"/>
    <n v="44905"/>
    <n v="93"/>
    <x v="31"/>
    <x v="3"/>
    <x v="0"/>
  </r>
  <r>
    <n v="490"/>
    <x v="8"/>
    <x v="4"/>
    <x v="3"/>
    <x v="3"/>
    <n v="38"/>
    <n v="9.5"/>
    <n v="2208"/>
    <n v="4.5999999999999996"/>
    <x v="0"/>
    <x v="0"/>
    <n v="1052"/>
    <n v="71581"/>
    <n v="71"/>
    <x v="223"/>
    <x v="1"/>
    <x v="2"/>
  </r>
  <r>
    <n v="491"/>
    <x v="7"/>
    <x v="0"/>
    <x v="2"/>
    <x v="3"/>
    <n v="73"/>
    <n v="4.9000000000000004"/>
    <n v="2463"/>
    <n v="3.5"/>
    <x v="3"/>
    <x v="0"/>
    <n v="5498"/>
    <n v="63224"/>
    <n v="74"/>
    <x v="74"/>
    <x v="2"/>
    <x v="2"/>
  </r>
  <r>
    <n v="492"/>
    <x v="6"/>
    <x v="4"/>
    <x v="1"/>
    <x v="3"/>
    <n v="40"/>
    <n v="7.1"/>
    <n v="2933"/>
    <n v="2.4"/>
    <x v="3"/>
    <x v="3"/>
    <n v="8750"/>
    <n v="31420"/>
    <n v="90"/>
    <x v="32"/>
    <x v="3"/>
    <x v="1"/>
  </r>
  <r>
    <n v="493"/>
    <x v="8"/>
    <x v="2"/>
    <x v="4"/>
    <x v="0"/>
    <n v="66"/>
    <n v="10.3"/>
    <n v="2985"/>
    <n v="4.3"/>
    <x v="4"/>
    <x v="4"/>
    <n v="11564"/>
    <n v="68141"/>
    <n v="64"/>
    <x v="257"/>
    <x v="1"/>
    <x v="0"/>
  </r>
  <r>
    <n v="494"/>
    <x v="6"/>
    <x v="2"/>
    <x v="4"/>
    <x v="4"/>
    <n v="37"/>
    <n v="4.2"/>
    <n v="1123"/>
    <n v="3.9"/>
    <x v="0"/>
    <x v="0"/>
    <n v="8456"/>
    <n v="115457"/>
    <n v="96"/>
    <x v="258"/>
    <x v="3"/>
    <x v="1"/>
  </r>
  <r>
    <n v="495"/>
    <x v="5"/>
    <x v="3"/>
    <x v="5"/>
    <x v="0"/>
    <n v="61"/>
    <n v="11.3"/>
    <n v="871"/>
    <n v="4.3"/>
    <x v="3"/>
    <x v="4"/>
    <n v="10990"/>
    <n v="114572"/>
    <n v="83"/>
    <x v="85"/>
    <x v="1"/>
    <x v="0"/>
  </r>
  <r>
    <n v="496"/>
    <x v="5"/>
    <x v="1"/>
    <x v="4"/>
    <x v="2"/>
    <n v="62"/>
    <n v="4.2"/>
    <n v="2811"/>
    <n v="2.8"/>
    <x v="1"/>
    <x v="4"/>
    <n v="4030"/>
    <n v="92663"/>
    <n v="85"/>
    <x v="259"/>
    <x v="2"/>
    <x v="2"/>
  </r>
  <r>
    <n v="497"/>
    <x v="7"/>
    <x v="2"/>
    <x v="3"/>
    <x v="3"/>
    <n v="17"/>
    <n v="11"/>
    <n v="958"/>
    <n v="1.9"/>
    <x v="7"/>
    <x v="0"/>
    <n v="5789"/>
    <n v="95868"/>
    <n v="55"/>
    <x v="260"/>
    <x v="2"/>
    <x v="1"/>
  </r>
  <r>
    <n v="498"/>
    <x v="5"/>
    <x v="3"/>
    <x v="2"/>
    <x v="1"/>
    <n v="70"/>
    <n v="12"/>
    <n v="845"/>
    <n v="2.2999999999999998"/>
    <x v="4"/>
    <x v="1"/>
    <n v="3877"/>
    <n v="48647"/>
    <n v="88"/>
    <x v="88"/>
    <x v="2"/>
    <x v="0"/>
  </r>
  <r>
    <n v="499"/>
    <x v="5"/>
    <x v="1"/>
    <x v="2"/>
    <x v="4"/>
    <n v="52"/>
    <n v="3.6"/>
    <n v="2774"/>
    <n v="2.1"/>
    <x v="6"/>
    <x v="3"/>
    <n v="2420"/>
    <n v="95755"/>
    <n v="59"/>
    <x v="46"/>
    <x v="3"/>
    <x v="1"/>
  </r>
  <r>
    <n v="500"/>
    <x v="9"/>
    <x v="4"/>
    <x v="5"/>
    <x v="4"/>
    <n v="79"/>
    <n v="10.3"/>
    <n v="1529"/>
    <n v="4.7"/>
    <x v="5"/>
    <x v="1"/>
    <n v="1070"/>
    <n v="101765"/>
    <n v="79"/>
    <x v="99"/>
    <x v="1"/>
    <x v="1"/>
  </r>
  <r>
    <n v="501"/>
    <x v="9"/>
    <x v="4"/>
    <x v="1"/>
    <x v="2"/>
    <n v="43"/>
    <n v="7.5"/>
    <n v="2766"/>
    <n v="3.2"/>
    <x v="0"/>
    <x v="4"/>
    <n v="4434"/>
    <n v="61753"/>
    <n v="53"/>
    <x v="261"/>
    <x v="2"/>
    <x v="2"/>
  </r>
  <r>
    <n v="502"/>
    <x v="7"/>
    <x v="3"/>
    <x v="3"/>
    <x v="2"/>
    <n v="56"/>
    <n v="8.3000000000000007"/>
    <n v="963"/>
    <n v="2"/>
    <x v="7"/>
    <x v="4"/>
    <n v="12074"/>
    <n v="87647"/>
    <n v="57"/>
    <x v="46"/>
    <x v="3"/>
    <x v="2"/>
  </r>
  <r>
    <n v="503"/>
    <x v="8"/>
    <x v="0"/>
    <x v="1"/>
    <x v="1"/>
    <n v="68"/>
    <n v="8.6999999999999993"/>
    <n v="1748"/>
    <n v="3.5"/>
    <x v="5"/>
    <x v="1"/>
    <n v="12041"/>
    <n v="24413"/>
    <n v="83"/>
    <x v="262"/>
    <x v="1"/>
    <x v="1"/>
  </r>
  <r>
    <n v="504"/>
    <x v="8"/>
    <x v="4"/>
    <x v="1"/>
    <x v="1"/>
    <n v="71"/>
    <n v="10.9"/>
    <n v="2123"/>
    <n v="3"/>
    <x v="6"/>
    <x v="4"/>
    <n v="13726"/>
    <n v="47547"/>
    <n v="53"/>
    <x v="81"/>
    <x v="3"/>
    <x v="2"/>
  </r>
  <r>
    <n v="505"/>
    <x v="5"/>
    <x v="0"/>
    <x v="1"/>
    <x v="1"/>
    <n v="19"/>
    <n v="4.2"/>
    <n v="1910"/>
    <n v="4.3"/>
    <x v="3"/>
    <x v="1"/>
    <n v="14479"/>
    <n v="82123"/>
    <n v="91"/>
    <x v="90"/>
    <x v="3"/>
    <x v="2"/>
  </r>
  <r>
    <n v="506"/>
    <x v="9"/>
    <x v="0"/>
    <x v="2"/>
    <x v="4"/>
    <n v="11"/>
    <n v="6.2"/>
    <n v="1972"/>
    <n v="3.7"/>
    <x v="2"/>
    <x v="0"/>
    <n v="3039"/>
    <n v="108873"/>
    <n v="65"/>
    <x v="167"/>
    <x v="1"/>
    <x v="1"/>
  </r>
  <r>
    <n v="507"/>
    <x v="6"/>
    <x v="0"/>
    <x v="1"/>
    <x v="0"/>
    <n v="74"/>
    <n v="4.5999999999999996"/>
    <n v="1989"/>
    <n v="4.5"/>
    <x v="4"/>
    <x v="3"/>
    <n v="5514"/>
    <n v="44078"/>
    <n v="64"/>
    <x v="187"/>
    <x v="3"/>
    <x v="0"/>
  </r>
  <r>
    <n v="508"/>
    <x v="8"/>
    <x v="2"/>
    <x v="3"/>
    <x v="0"/>
    <n v="58"/>
    <n v="9.8000000000000007"/>
    <n v="2869"/>
    <n v="2.7"/>
    <x v="5"/>
    <x v="2"/>
    <n v="4189"/>
    <n v="73105"/>
    <n v="98"/>
    <x v="42"/>
    <x v="0"/>
    <x v="0"/>
  </r>
  <r>
    <n v="509"/>
    <x v="5"/>
    <x v="4"/>
    <x v="0"/>
    <x v="1"/>
    <n v="62"/>
    <n v="5.2"/>
    <n v="1384"/>
    <n v="3.4"/>
    <x v="6"/>
    <x v="0"/>
    <n v="6305"/>
    <n v="64520"/>
    <n v="70"/>
    <x v="263"/>
    <x v="3"/>
    <x v="2"/>
  </r>
  <r>
    <n v="510"/>
    <x v="6"/>
    <x v="2"/>
    <x v="5"/>
    <x v="0"/>
    <n v="80"/>
    <n v="10.5"/>
    <n v="1625"/>
    <n v="2.5"/>
    <x v="7"/>
    <x v="3"/>
    <n v="10593"/>
    <n v="26120"/>
    <n v="53"/>
    <x v="32"/>
    <x v="2"/>
    <x v="2"/>
  </r>
  <r>
    <n v="511"/>
    <x v="6"/>
    <x v="0"/>
    <x v="3"/>
    <x v="4"/>
    <n v="88"/>
    <n v="11.5"/>
    <n v="1837"/>
    <n v="2.4"/>
    <x v="0"/>
    <x v="3"/>
    <n v="10292"/>
    <n v="36913"/>
    <n v="54"/>
    <x v="36"/>
    <x v="1"/>
    <x v="2"/>
  </r>
  <r>
    <n v="512"/>
    <x v="6"/>
    <x v="3"/>
    <x v="4"/>
    <x v="3"/>
    <n v="81"/>
    <n v="6.8"/>
    <n v="2169"/>
    <n v="2.2999999999999998"/>
    <x v="3"/>
    <x v="0"/>
    <n v="11693"/>
    <n v="111776"/>
    <n v="53"/>
    <x v="20"/>
    <x v="0"/>
    <x v="2"/>
  </r>
  <r>
    <n v="513"/>
    <x v="6"/>
    <x v="1"/>
    <x v="0"/>
    <x v="0"/>
    <n v="12"/>
    <n v="10.5"/>
    <n v="1811"/>
    <n v="3.3"/>
    <x v="4"/>
    <x v="2"/>
    <n v="7445"/>
    <n v="68507"/>
    <n v="85"/>
    <x v="18"/>
    <x v="0"/>
    <x v="2"/>
  </r>
  <r>
    <n v="514"/>
    <x v="6"/>
    <x v="4"/>
    <x v="4"/>
    <x v="1"/>
    <n v="32"/>
    <n v="4.2"/>
    <n v="1309"/>
    <n v="2.2000000000000002"/>
    <x v="5"/>
    <x v="1"/>
    <n v="2140"/>
    <n v="115389"/>
    <n v="95"/>
    <x v="167"/>
    <x v="3"/>
    <x v="0"/>
  </r>
  <r>
    <n v="515"/>
    <x v="7"/>
    <x v="3"/>
    <x v="2"/>
    <x v="3"/>
    <n v="83"/>
    <n v="6.8"/>
    <n v="831"/>
    <n v="4.2"/>
    <x v="3"/>
    <x v="3"/>
    <n v="13849"/>
    <n v="29414"/>
    <n v="72"/>
    <x v="264"/>
    <x v="2"/>
    <x v="0"/>
  </r>
  <r>
    <n v="516"/>
    <x v="6"/>
    <x v="2"/>
    <x v="4"/>
    <x v="0"/>
    <n v="90"/>
    <n v="12"/>
    <n v="2790"/>
    <n v="2.1"/>
    <x v="5"/>
    <x v="2"/>
    <n v="11908"/>
    <n v="66096"/>
    <n v="83"/>
    <x v="59"/>
    <x v="1"/>
    <x v="0"/>
  </r>
  <r>
    <n v="517"/>
    <x v="7"/>
    <x v="4"/>
    <x v="1"/>
    <x v="3"/>
    <n v="68"/>
    <n v="11.5"/>
    <n v="2855"/>
    <n v="4.9000000000000004"/>
    <x v="5"/>
    <x v="3"/>
    <n v="10946"/>
    <n v="56983"/>
    <n v="66"/>
    <x v="265"/>
    <x v="0"/>
    <x v="0"/>
  </r>
  <r>
    <n v="518"/>
    <x v="5"/>
    <x v="4"/>
    <x v="4"/>
    <x v="1"/>
    <n v="12"/>
    <n v="4.2"/>
    <n v="1925"/>
    <n v="4.8"/>
    <x v="3"/>
    <x v="1"/>
    <n v="1997"/>
    <n v="96709"/>
    <n v="68"/>
    <x v="161"/>
    <x v="3"/>
    <x v="1"/>
  </r>
  <r>
    <n v="519"/>
    <x v="5"/>
    <x v="1"/>
    <x v="3"/>
    <x v="2"/>
    <n v="60"/>
    <n v="9.9"/>
    <n v="2244"/>
    <n v="2.2999999999999998"/>
    <x v="2"/>
    <x v="3"/>
    <n v="4058"/>
    <n v="89558"/>
    <n v="54"/>
    <x v="24"/>
    <x v="2"/>
    <x v="0"/>
  </r>
  <r>
    <n v="520"/>
    <x v="5"/>
    <x v="2"/>
    <x v="3"/>
    <x v="2"/>
    <n v="77"/>
    <n v="6.4"/>
    <n v="2226"/>
    <n v="3.4"/>
    <x v="5"/>
    <x v="0"/>
    <n v="11388"/>
    <n v="32159"/>
    <n v="77"/>
    <x v="182"/>
    <x v="1"/>
    <x v="0"/>
  </r>
  <r>
    <n v="521"/>
    <x v="5"/>
    <x v="3"/>
    <x v="2"/>
    <x v="3"/>
    <n v="70"/>
    <n v="3.7"/>
    <n v="2037"/>
    <n v="3.1"/>
    <x v="6"/>
    <x v="4"/>
    <n v="3051"/>
    <n v="63732"/>
    <n v="53"/>
    <x v="94"/>
    <x v="1"/>
    <x v="2"/>
  </r>
  <r>
    <n v="522"/>
    <x v="6"/>
    <x v="3"/>
    <x v="1"/>
    <x v="2"/>
    <n v="36"/>
    <n v="7"/>
    <n v="2149"/>
    <n v="1.6"/>
    <x v="7"/>
    <x v="1"/>
    <n v="11250"/>
    <n v="95542"/>
    <n v="74"/>
    <x v="266"/>
    <x v="0"/>
    <x v="2"/>
  </r>
  <r>
    <n v="523"/>
    <x v="8"/>
    <x v="2"/>
    <x v="4"/>
    <x v="3"/>
    <n v="85"/>
    <n v="10.6"/>
    <n v="2087"/>
    <n v="4"/>
    <x v="7"/>
    <x v="3"/>
    <n v="13449"/>
    <n v="31227"/>
    <n v="74"/>
    <x v="250"/>
    <x v="1"/>
    <x v="0"/>
  </r>
  <r>
    <n v="524"/>
    <x v="8"/>
    <x v="4"/>
    <x v="2"/>
    <x v="4"/>
    <n v="65"/>
    <n v="10"/>
    <n v="1859"/>
    <n v="2.1"/>
    <x v="2"/>
    <x v="1"/>
    <n v="4447"/>
    <n v="118774"/>
    <n v="53"/>
    <x v="83"/>
    <x v="0"/>
    <x v="0"/>
  </r>
  <r>
    <n v="525"/>
    <x v="7"/>
    <x v="3"/>
    <x v="1"/>
    <x v="1"/>
    <n v="46"/>
    <n v="3.6"/>
    <n v="1617"/>
    <n v="1.6"/>
    <x v="1"/>
    <x v="0"/>
    <n v="5723"/>
    <n v="83017"/>
    <n v="67"/>
    <x v="267"/>
    <x v="0"/>
    <x v="2"/>
  </r>
  <r>
    <n v="526"/>
    <x v="8"/>
    <x v="1"/>
    <x v="5"/>
    <x v="3"/>
    <n v="75"/>
    <n v="10.3"/>
    <n v="1499"/>
    <n v="3.2"/>
    <x v="4"/>
    <x v="0"/>
    <n v="13637"/>
    <n v="24689"/>
    <n v="74"/>
    <x v="35"/>
    <x v="0"/>
    <x v="0"/>
  </r>
  <r>
    <n v="527"/>
    <x v="9"/>
    <x v="4"/>
    <x v="3"/>
    <x v="2"/>
    <n v="28"/>
    <n v="6.5"/>
    <n v="1384"/>
    <n v="3.5"/>
    <x v="3"/>
    <x v="4"/>
    <n v="1811"/>
    <n v="109383"/>
    <n v="56"/>
    <x v="31"/>
    <x v="0"/>
    <x v="0"/>
  </r>
  <r>
    <n v="528"/>
    <x v="9"/>
    <x v="0"/>
    <x v="2"/>
    <x v="4"/>
    <n v="85"/>
    <n v="9.5"/>
    <n v="1247"/>
    <n v="3.5"/>
    <x v="0"/>
    <x v="4"/>
    <n v="1255"/>
    <n v="24400"/>
    <n v="80"/>
    <x v="268"/>
    <x v="2"/>
    <x v="1"/>
  </r>
  <r>
    <n v="529"/>
    <x v="8"/>
    <x v="3"/>
    <x v="2"/>
    <x v="4"/>
    <n v="64"/>
    <n v="6.6"/>
    <n v="1895"/>
    <n v="3.3"/>
    <x v="4"/>
    <x v="1"/>
    <n v="9661"/>
    <n v="86871"/>
    <n v="90"/>
    <x v="269"/>
    <x v="2"/>
    <x v="2"/>
  </r>
  <r>
    <n v="530"/>
    <x v="7"/>
    <x v="1"/>
    <x v="2"/>
    <x v="3"/>
    <n v="28"/>
    <n v="11.4"/>
    <n v="2887"/>
    <n v="2.9"/>
    <x v="0"/>
    <x v="2"/>
    <n v="5523"/>
    <n v="66063"/>
    <n v="67"/>
    <x v="64"/>
    <x v="3"/>
    <x v="0"/>
  </r>
  <r>
    <n v="531"/>
    <x v="7"/>
    <x v="3"/>
    <x v="2"/>
    <x v="4"/>
    <n v="11"/>
    <n v="3.1"/>
    <n v="2257"/>
    <n v="2.2000000000000002"/>
    <x v="3"/>
    <x v="1"/>
    <n v="9450"/>
    <n v="44993"/>
    <n v="90"/>
    <x v="81"/>
    <x v="1"/>
    <x v="2"/>
  </r>
  <r>
    <n v="532"/>
    <x v="7"/>
    <x v="3"/>
    <x v="1"/>
    <x v="4"/>
    <n v="14"/>
    <n v="8.1999999999999993"/>
    <n v="1473"/>
    <n v="4.4000000000000004"/>
    <x v="0"/>
    <x v="3"/>
    <n v="1003"/>
    <n v="98012"/>
    <n v="97"/>
    <x v="270"/>
    <x v="0"/>
    <x v="0"/>
  </r>
  <r>
    <n v="533"/>
    <x v="8"/>
    <x v="0"/>
    <x v="4"/>
    <x v="2"/>
    <n v="48"/>
    <n v="7.6"/>
    <n v="1927"/>
    <n v="1.8"/>
    <x v="1"/>
    <x v="4"/>
    <n v="2846"/>
    <n v="86077"/>
    <n v="91"/>
    <x v="187"/>
    <x v="1"/>
    <x v="0"/>
  </r>
  <r>
    <n v="534"/>
    <x v="6"/>
    <x v="3"/>
    <x v="3"/>
    <x v="1"/>
    <n v="79"/>
    <n v="5.2"/>
    <n v="963"/>
    <n v="2.9"/>
    <x v="0"/>
    <x v="1"/>
    <n v="3362"/>
    <n v="106617"/>
    <n v="68"/>
    <x v="180"/>
    <x v="2"/>
    <x v="1"/>
  </r>
  <r>
    <n v="535"/>
    <x v="9"/>
    <x v="1"/>
    <x v="0"/>
    <x v="0"/>
    <n v="77"/>
    <n v="5.5"/>
    <n v="2892"/>
    <n v="4.5"/>
    <x v="7"/>
    <x v="3"/>
    <n v="13710"/>
    <n v="20101"/>
    <n v="61"/>
    <x v="104"/>
    <x v="3"/>
    <x v="1"/>
  </r>
  <r>
    <n v="536"/>
    <x v="5"/>
    <x v="3"/>
    <x v="1"/>
    <x v="3"/>
    <n v="26"/>
    <n v="3.4"/>
    <n v="916"/>
    <n v="2.2000000000000002"/>
    <x v="0"/>
    <x v="3"/>
    <n v="2552"/>
    <n v="83078"/>
    <n v="64"/>
    <x v="15"/>
    <x v="3"/>
    <x v="2"/>
  </r>
  <r>
    <n v="537"/>
    <x v="9"/>
    <x v="2"/>
    <x v="4"/>
    <x v="4"/>
    <n v="56"/>
    <n v="11"/>
    <n v="2764"/>
    <n v="2.9"/>
    <x v="3"/>
    <x v="0"/>
    <n v="10268"/>
    <n v="68013"/>
    <n v="65"/>
    <x v="209"/>
    <x v="3"/>
    <x v="0"/>
  </r>
  <r>
    <n v="538"/>
    <x v="6"/>
    <x v="3"/>
    <x v="1"/>
    <x v="0"/>
    <n v="72"/>
    <n v="9.6999999999999993"/>
    <n v="1701"/>
    <n v="3.4"/>
    <x v="0"/>
    <x v="1"/>
    <n v="3687"/>
    <n v="108758"/>
    <n v="97"/>
    <x v="236"/>
    <x v="2"/>
    <x v="1"/>
  </r>
  <r>
    <n v="539"/>
    <x v="5"/>
    <x v="1"/>
    <x v="0"/>
    <x v="2"/>
    <n v="48"/>
    <n v="11.1"/>
    <n v="2183"/>
    <n v="2.9"/>
    <x v="1"/>
    <x v="0"/>
    <n v="5837"/>
    <n v="80188"/>
    <n v="52"/>
    <x v="83"/>
    <x v="3"/>
    <x v="1"/>
  </r>
  <r>
    <n v="540"/>
    <x v="8"/>
    <x v="4"/>
    <x v="2"/>
    <x v="4"/>
    <n v="69"/>
    <n v="6.4"/>
    <n v="1134"/>
    <n v="4.3"/>
    <x v="1"/>
    <x v="0"/>
    <n v="4451"/>
    <n v="63775"/>
    <n v="77"/>
    <x v="271"/>
    <x v="2"/>
    <x v="0"/>
  </r>
  <r>
    <n v="541"/>
    <x v="9"/>
    <x v="3"/>
    <x v="0"/>
    <x v="3"/>
    <n v="61"/>
    <n v="11.1"/>
    <n v="1786"/>
    <n v="2.2999999999999998"/>
    <x v="1"/>
    <x v="1"/>
    <n v="8644"/>
    <n v="88680"/>
    <n v="85"/>
    <x v="272"/>
    <x v="3"/>
    <x v="0"/>
  </r>
  <r>
    <n v="542"/>
    <x v="6"/>
    <x v="0"/>
    <x v="5"/>
    <x v="1"/>
    <n v="83"/>
    <n v="4.0999999999999996"/>
    <n v="2320"/>
    <n v="2.5"/>
    <x v="3"/>
    <x v="3"/>
    <n v="4121"/>
    <n v="67182"/>
    <n v="64"/>
    <x v="236"/>
    <x v="3"/>
    <x v="1"/>
  </r>
  <r>
    <n v="543"/>
    <x v="7"/>
    <x v="3"/>
    <x v="1"/>
    <x v="0"/>
    <n v="20"/>
    <n v="7.5"/>
    <n v="2305"/>
    <n v="4"/>
    <x v="4"/>
    <x v="2"/>
    <n v="8564"/>
    <n v="102835"/>
    <n v="89"/>
    <x v="39"/>
    <x v="1"/>
    <x v="2"/>
  </r>
  <r>
    <n v="544"/>
    <x v="9"/>
    <x v="0"/>
    <x v="2"/>
    <x v="0"/>
    <n v="64"/>
    <n v="6.5"/>
    <n v="1851"/>
    <n v="2.5"/>
    <x v="2"/>
    <x v="2"/>
    <n v="8957"/>
    <n v="97332"/>
    <n v="55"/>
    <x v="216"/>
    <x v="1"/>
    <x v="0"/>
  </r>
  <r>
    <n v="545"/>
    <x v="8"/>
    <x v="2"/>
    <x v="5"/>
    <x v="3"/>
    <n v="16"/>
    <n v="4"/>
    <n v="2894"/>
    <n v="1.6"/>
    <x v="4"/>
    <x v="3"/>
    <n v="8433"/>
    <n v="105719"/>
    <n v="64"/>
    <x v="188"/>
    <x v="2"/>
    <x v="2"/>
  </r>
  <r>
    <n v="546"/>
    <x v="9"/>
    <x v="0"/>
    <x v="1"/>
    <x v="0"/>
    <n v="37"/>
    <n v="4.0999999999999996"/>
    <n v="1971"/>
    <n v="5"/>
    <x v="7"/>
    <x v="0"/>
    <n v="3902"/>
    <n v="99663"/>
    <n v="72"/>
    <x v="51"/>
    <x v="1"/>
    <x v="1"/>
  </r>
  <r>
    <n v="547"/>
    <x v="7"/>
    <x v="1"/>
    <x v="0"/>
    <x v="1"/>
    <n v="54"/>
    <n v="5"/>
    <n v="2504"/>
    <n v="3.3"/>
    <x v="5"/>
    <x v="4"/>
    <n v="12627"/>
    <n v="80816"/>
    <n v="65"/>
    <x v="143"/>
    <x v="3"/>
    <x v="0"/>
  </r>
  <r>
    <n v="548"/>
    <x v="5"/>
    <x v="3"/>
    <x v="2"/>
    <x v="3"/>
    <n v="62"/>
    <n v="11.4"/>
    <n v="2817"/>
    <n v="2.7"/>
    <x v="2"/>
    <x v="2"/>
    <n v="7147"/>
    <n v="51569"/>
    <n v="83"/>
    <x v="251"/>
    <x v="3"/>
    <x v="0"/>
  </r>
  <r>
    <n v="549"/>
    <x v="7"/>
    <x v="1"/>
    <x v="5"/>
    <x v="4"/>
    <n v="37"/>
    <n v="11.3"/>
    <n v="856"/>
    <n v="4.0999999999999996"/>
    <x v="5"/>
    <x v="4"/>
    <n v="11310"/>
    <n v="67930"/>
    <n v="96"/>
    <x v="103"/>
    <x v="0"/>
    <x v="1"/>
  </r>
  <r>
    <n v="550"/>
    <x v="8"/>
    <x v="0"/>
    <x v="3"/>
    <x v="2"/>
    <n v="43"/>
    <n v="11.1"/>
    <n v="2634"/>
    <n v="4.5999999999999996"/>
    <x v="6"/>
    <x v="4"/>
    <n v="12859"/>
    <n v="88650"/>
    <n v="95"/>
    <x v="149"/>
    <x v="1"/>
    <x v="1"/>
  </r>
  <r>
    <n v="551"/>
    <x v="6"/>
    <x v="0"/>
    <x v="3"/>
    <x v="4"/>
    <n v="56"/>
    <n v="3.9"/>
    <n v="1593"/>
    <n v="4.9000000000000004"/>
    <x v="7"/>
    <x v="0"/>
    <n v="10375"/>
    <n v="73951"/>
    <n v="57"/>
    <x v="73"/>
    <x v="1"/>
    <x v="0"/>
  </r>
  <r>
    <n v="552"/>
    <x v="6"/>
    <x v="1"/>
    <x v="5"/>
    <x v="1"/>
    <n v="35"/>
    <n v="5.0999999999999996"/>
    <n v="2839"/>
    <n v="3.5"/>
    <x v="3"/>
    <x v="1"/>
    <n v="8774"/>
    <n v="56345"/>
    <n v="71"/>
    <x v="125"/>
    <x v="0"/>
    <x v="1"/>
  </r>
  <r>
    <n v="553"/>
    <x v="7"/>
    <x v="0"/>
    <x v="5"/>
    <x v="1"/>
    <n v="52"/>
    <n v="6.8"/>
    <n v="1679"/>
    <n v="3.3"/>
    <x v="7"/>
    <x v="4"/>
    <n v="4039"/>
    <n v="93436"/>
    <n v="70"/>
    <x v="273"/>
    <x v="1"/>
    <x v="0"/>
  </r>
  <r>
    <n v="554"/>
    <x v="5"/>
    <x v="0"/>
    <x v="0"/>
    <x v="1"/>
    <n v="75"/>
    <n v="3.6"/>
    <n v="1279"/>
    <n v="1.9"/>
    <x v="6"/>
    <x v="4"/>
    <n v="1847"/>
    <n v="95360"/>
    <n v="87"/>
    <x v="265"/>
    <x v="2"/>
    <x v="0"/>
  </r>
  <r>
    <n v="555"/>
    <x v="8"/>
    <x v="1"/>
    <x v="5"/>
    <x v="4"/>
    <n v="26"/>
    <n v="8.9"/>
    <n v="1768"/>
    <n v="2"/>
    <x v="1"/>
    <x v="3"/>
    <n v="1917"/>
    <n v="71386"/>
    <n v="88"/>
    <x v="46"/>
    <x v="0"/>
    <x v="1"/>
  </r>
  <r>
    <n v="556"/>
    <x v="7"/>
    <x v="0"/>
    <x v="4"/>
    <x v="2"/>
    <n v="74"/>
    <n v="6"/>
    <n v="1286"/>
    <n v="3.1"/>
    <x v="7"/>
    <x v="3"/>
    <n v="4046"/>
    <n v="27033"/>
    <n v="52"/>
    <x v="41"/>
    <x v="0"/>
    <x v="1"/>
  </r>
  <r>
    <n v="557"/>
    <x v="9"/>
    <x v="4"/>
    <x v="5"/>
    <x v="3"/>
    <n v="11"/>
    <n v="9.4"/>
    <n v="2381"/>
    <n v="2.8"/>
    <x v="3"/>
    <x v="3"/>
    <n v="6777"/>
    <n v="24626"/>
    <n v="64"/>
    <x v="68"/>
    <x v="3"/>
    <x v="2"/>
  </r>
  <r>
    <n v="558"/>
    <x v="7"/>
    <x v="1"/>
    <x v="4"/>
    <x v="3"/>
    <n v="73"/>
    <n v="10.6"/>
    <n v="2167"/>
    <n v="4.9000000000000004"/>
    <x v="7"/>
    <x v="0"/>
    <n v="11572"/>
    <n v="39742"/>
    <n v="60"/>
    <x v="274"/>
    <x v="3"/>
    <x v="2"/>
  </r>
  <r>
    <n v="559"/>
    <x v="6"/>
    <x v="2"/>
    <x v="2"/>
    <x v="0"/>
    <n v="63"/>
    <n v="4.8"/>
    <n v="2077"/>
    <n v="2.2999999999999998"/>
    <x v="0"/>
    <x v="4"/>
    <n v="1274"/>
    <n v="102964"/>
    <n v="70"/>
    <x v="198"/>
    <x v="2"/>
    <x v="0"/>
  </r>
  <r>
    <n v="560"/>
    <x v="5"/>
    <x v="0"/>
    <x v="0"/>
    <x v="1"/>
    <n v="47"/>
    <n v="5.5"/>
    <n v="1054"/>
    <n v="2"/>
    <x v="6"/>
    <x v="0"/>
    <n v="2787"/>
    <n v="79860"/>
    <n v="99"/>
    <x v="68"/>
    <x v="0"/>
    <x v="0"/>
  </r>
  <r>
    <n v="561"/>
    <x v="6"/>
    <x v="0"/>
    <x v="5"/>
    <x v="0"/>
    <n v="86"/>
    <n v="6.5"/>
    <n v="1932"/>
    <n v="5"/>
    <x v="1"/>
    <x v="2"/>
    <n v="13668"/>
    <n v="29961"/>
    <n v="58"/>
    <x v="275"/>
    <x v="1"/>
    <x v="2"/>
  </r>
  <r>
    <n v="562"/>
    <x v="7"/>
    <x v="1"/>
    <x v="2"/>
    <x v="4"/>
    <n v="66"/>
    <n v="8.6999999999999993"/>
    <n v="2647"/>
    <n v="2.5"/>
    <x v="7"/>
    <x v="0"/>
    <n v="11320"/>
    <n v="35489"/>
    <n v="79"/>
    <x v="69"/>
    <x v="0"/>
    <x v="1"/>
  </r>
  <r>
    <n v="563"/>
    <x v="5"/>
    <x v="1"/>
    <x v="3"/>
    <x v="0"/>
    <n v="54"/>
    <n v="3.7"/>
    <n v="2856"/>
    <n v="3.5"/>
    <x v="0"/>
    <x v="2"/>
    <n v="12119"/>
    <n v="99038"/>
    <n v="73"/>
    <x v="276"/>
    <x v="1"/>
    <x v="0"/>
  </r>
  <r>
    <n v="564"/>
    <x v="9"/>
    <x v="1"/>
    <x v="0"/>
    <x v="2"/>
    <n v="32"/>
    <n v="7.9"/>
    <n v="2654"/>
    <n v="3.6"/>
    <x v="2"/>
    <x v="2"/>
    <n v="4228"/>
    <n v="87841"/>
    <n v="89"/>
    <x v="221"/>
    <x v="3"/>
    <x v="2"/>
  </r>
  <r>
    <n v="565"/>
    <x v="8"/>
    <x v="2"/>
    <x v="3"/>
    <x v="0"/>
    <n v="39"/>
    <n v="7.4"/>
    <n v="1721"/>
    <n v="3.3"/>
    <x v="7"/>
    <x v="2"/>
    <n v="3648"/>
    <n v="77247"/>
    <n v="97"/>
    <x v="92"/>
    <x v="2"/>
    <x v="0"/>
  </r>
  <r>
    <n v="566"/>
    <x v="5"/>
    <x v="1"/>
    <x v="2"/>
    <x v="0"/>
    <n v="79"/>
    <n v="8.6999999999999993"/>
    <n v="1310"/>
    <n v="4.3"/>
    <x v="7"/>
    <x v="3"/>
    <n v="10240"/>
    <n v="74670"/>
    <n v="76"/>
    <x v="272"/>
    <x v="3"/>
    <x v="0"/>
  </r>
  <r>
    <n v="567"/>
    <x v="5"/>
    <x v="2"/>
    <x v="3"/>
    <x v="4"/>
    <n v="62"/>
    <n v="10"/>
    <n v="1799"/>
    <n v="2.5"/>
    <x v="0"/>
    <x v="0"/>
    <n v="4651"/>
    <n v="43832"/>
    <n v="100"/>
    <x v="87"/>
    <x v="1"/>
    <x v="2"/>
  </r>
  <r>
    <n v="568"/>
    <x v="9"/>
    <x v="3"/>
    <x v="0"/>
    <x v="2"/>
    <n v="50"/>
    <n v="3"/>
    <n v="1165"/>
    <n v="4.9000000000000004"/>
    <x v="7"/>
    <x v="1"/>
    <n v="9516"/>
    <n v="113230"/>
    <n v="85"/>
    <x v="107"/>
    <x v="2"/>
    <x v="0"/>
  </r>
  <r>
    <n v="569"/>
    <x v="5"/>
    <x v="3"/>
    <x v="0"/>
    <x v="2"/>
    <n v="63"/>
    <n v="3.2"/>
    <n v="1681"/>
    <n v="3.8"/>
    <x v="0"/>
    <x v="0"/>
    <n v="2135"/>
    <n v="31139"/>
    <n v="55"/>
    <x v="168"/>
    <x v="1"/>
    <x v="1"/>
  </r>
  <r>
    <n v="570"/>
    <x v="9"/>
    <x v="0"/>
    <x v="2"/>
    <x v="2"/>
    <n v="25"/>
    <n v="10.8"/>
    <n v="2367"/>
    <n v="4.2"/>
    <x v="4"/>
    <x v="0"/>
    <n v="6499"/>
    <n v="62243"/>
    <n v="99"/>
    <x v="103"/>
    <x v="3"/>
    <x v="0"/>
  </r>
  <r>
    <n v="571"/>
    <x v="5"/>
    <x v="0"/>
    <x v="0"/>
    <x v="3"/>
    <n v="49"/>
    <n v="11.6"/>
    <n v="819"/>
    <n v="3.6"/>
    <x v="1"/>
    <x v="1"/>
    <n v="2405"/>
    <n v="31066"/>
    <n v="66"/>
    <x v="50"/>
    <x v="0"/>
    <x v="0"/>
  </r>
  <r>
    <n v="572"/>
    <x v="9"/>
    <x v="4"/>
    <x v="0"/>
    <x v="0"/>
    <n v="18"/>
    <n v="3.9"/>
    <n v="2415"/>
    <n v="2"/>
    <x v="6"/>
    <x v="2"/>
    <n v="9857"/>
    <n v="73874"/>
    <n v="50"/>
    <x v="277"/>
    <x v="3"/>
    <x v="1"/>
  </r>
  <r>
    <n v="573"/>
    <x v="9"/>
    <x v="4"/>
    <x v="1"/>
    <x v="0"/>
    <n v="78"/>
    <n v="10"/>
    <n v="1368"/>
    <n v="3.5"/>
    <x v="3"/>
    <x v="0"/>
    <n v="9275"/>
    <n v="73623"/>
    <n v="69"/>
    <x v="278"/>
    <x v="0"/>
    <x v="2"/>
  </r>
  <r>
    <n v="574"/>
    <x v="8"/>
    <x v="4"/>
    <x v="5"/>
    <x v="0"/>
    <n v="12"/>
    <n v="5.8"/>
    <n v="2826"/>
    <n v="4.8"/>
    <x v="0"/>
    <x v="1"/>
    <n v="14696"/>
    <n v="90268"/>
    <n v="56"/>
    <x v="85"/>
    <x v="1"/>
    <x v="0"/>
  </r>
  <r>
    <n v="575"/>
    <x v="6"/>
    <x v="1"/>
    <x v="4"/>
    <x v="1"/>
    <n v="11"/>
    <n v="9.6"/>
    <n v="1113"/>
    <n v="2"/>
    <x v="0"/>
    <x v="2"/>
    <n v="11356"/>
    <n v="41778"/>
    <n v="96"/>
    <x v="279"/>
    <x v="3"/>
    <x v="0"/>
  </r>
  <r>
    <n v="576"/>
    <x v="5"/>
    <x v="2"/>
    <x v="2"/>
    <x v="2"/>
    <n v="14"/>
    <n v="9.6"/>
    <n v="1128"/>
    <n v="1.8"/>
    <x v="5"/>
    <x v="0"/>
    <n v="1827"/>
    <n v="59024"/>
    <n v="79"/>
    <x v="69"/>
    <x v="1"/>
    <x v="1"/>
  </r>
  <r>
    <n v="577"/>
    <x v="8"/>
    <x v="0"/>
    <x v="2"/>
    <x v="4"/>
    <n v="14"/>
    <n v="10.3"/>
    <n v="1482"/>
    <n v="1.7"/>
    <x v="7"/>
    <x v="2"/>
    <n v="13534"/>
    <n v="75966"/>
    <n v="61"/>
    <x v="280"/>
    <x v="1"/>
    <x v="0"/>
  </r>
  <r>
    <n v="578"/>
    <x v="9"/>
    <x v="2"/>
    <x v="0"/>
    <x v="0"/>
    <n v="43"/>
    <n v="5.0999999999999996"/>
    <n v="1321"/>
    <n v="2.8"/>
    <x v="3"/>
    <x v="0"/>
    <n v="7975"/>
    <n v="39810"/>
    <n v="92"/>
    <x v="0"/>
    <x v="1"/>
    <x v="1"/>
  </r>
  <r>
    <n v="579"/>
    <x v="9"/>
    <x v="0"/>
    <x v="5"/>
    <x v="4"/>
    <n v="55"/>
    <n v="4.9000000000000004"/>
    <n v="2094"/>
    <n v="3"/>
    <x v="3"/>
    <x v="3"/>
    <n v="1616"/>
    <n v="85715"/>
    <n v="79"/>
    <x v="111"/>
    <x v="2"/>
    <x v="1"/>
  </r>
  <r>
    <n v="580"/>
    <x v="5"/>
    <x v="0"/>
    <x v="3"/>
    <x v="0"/>
    <n v="38"/>
    <n v="8"/>
    <n v="2476"/>
    <n v="2.7"/>
    <x v="7"/>
    <x v="4"/>
    <n v="8941"/>
    <n v="62402"/>
    <n v="59"/>
    <x v="281"/>
    <x v="1"/>
    <x v="1"/>
  </r>
  <r>
    <n v="581"/>
    <x v="6"/>
    <x v="4"/>
    <x v="5"/>
    <x v="2"/>
    <n v="13"/>
    <n v="11.3"/>
    <n v="812"/>
    <n v="4.3"/>
    <x v="2"/>
    <x v="4"/>
    <n v="2506"/>
    <n v="101813"/>
    <n v="91"/>
    <x v="33"/>
    <x v="3"/>
    <x v="2"/>
  </r>
  <r>
    <n v="582"/>
    <x v="8"/>
    <x v="1"/>
    <x v="2"/>
    <x v="2"/>
    <n v="22"/>
    <n v="7.2"/>
    <n v="866"/>
    <n v="3.5"/>
    <x v="4"/>
    <x v="1"/>
    <n v="8445"/>
    <n v="57716"/>
    <n v="89"/>
    <x v="98"/>
    <x v="0"/>
    <x v="0"/>
  </r>
  <r>
    <n v="583"/>
    <x v="9"/>
    <x v="1"/>
    <x v="0"/>
    <x v="0"/>
    <n v="38"/>
    <n v="10.199999999999999"/>
    <n v="2800"/>
    <n v="4.2"/>
    <x v="3"/>
    <x v="0"/>
    <n v="14469"/>
    <n v="42690"/>
    <n v="73"/>
    <x v="187"/>
    <x v="3"/>
    <x v="1"/>
  </r>
  <r>
    <n v="584"/>
    <x v="6"/>
    <x v="3"/>
    <x v="3"/>
    <x v="4"/>
    <n v="65"/>
    <n v="11.7"/>
    <n v="1692"/>
    <n v="2.8"/>
    <x v="7"/>
    <x v="0"/>
    <n v="4785"/>
    <n v="119204"/>
    <n v="76"/>
    <x v="282"/>
    <x v="0"/>
    <x v="0"/>
  </r>
  <r>
    <n v="585"/>
    <x v="6"/>
    <x v="4"/>
    <x v="4"/>
    <x v="4"/>
    <n v="59"/>
    <n v="12"/>
    <n v="2100"/>
    <n v="3.2"/>
    <x v="7"/>
    <x v="4"/>
    <n v="14316"/>
    <n v="51000"/>
    <n v="51"/>
    <x v="234"/>
    <x v="2"/>
    <x v="0"/>
  </r>
  <r>
    <n v="586"/>
    <x v="6"/>
    <x v="3"/>
    <x v="5"/>
    <x v="0"/>
    <n v="76"/>
    <n v="3.3"/>
    <n v="1258"/>
    <n v="3.8"/>
    <x v="3"/>
    <x v="4"/>
    <n v="8946"/>
    <n v="109406"/>
    <n v="91"/>
    <x v="65"/>
    <x v="0"/>
    <x v="2"/>
  </r>
  <r>
    <n v="587"/>
    <x v="7"/>
    <x v="2"/>
    <x v="3"/>
    <x v="0"/>
    <n v="26"/>
    <n v="7.4"/>
    <n v="2466"/>
    <n v="3.4"/>
    <x v="7"/>
    <x v="2"/>
    <n v="7937"/>
    <n v="53917"/>
    <n v="70"/>
    <x v="190"/>
    <x v="0"/>
    <x v="1"/>
  </r>
  <r>
    <n v="588"/>
    <x v="6"/>
    <x v="0"/>
    <x v="0"/>
    <x v="2"/>
    <n v="19"/>
    <n v="4.5"/>
    <n v="1564"/>
    <n v="4.4000000000000004"/>
    <x v="7"/>
    <x v="3"/>
    <n v="1687"/>
    <n v="34271"/>
    <n v="80"/>
    <x v="60"/>
    <x v="3"/>
    <x v="1"/>
  </r>
  <r>
    <n v="589"/>
    <x v="9"/>
    <x v="0"/>
    <x v="1"/>
    <x v="3"/>
    <n v="89"/>
    <n v="9.9"/>
    <n v="2792"/>
    <n v="2.8"/>
    <x v="2"/>
    <x v="2"/>
    <n v="8617"/>
    <n v="36023"/>
    <n v="61"/>
    <x v="145"/>
    <x v="0"/>
    <x v="0"/>
  </r>
  <r>
    <n v="590"/>
    <x v="8"/>
    <x v="0"/>
    <x v="1"/>
    <x v="1"/>
    <n v="84"/>
    <n v="11.5"/>
    <n v="908"/>
    <n v="2"/>
    <x v="0"/>
    <x v="3"/>
    <n v="13542"/>
    <n v="79545"/>
    <n v="85"/>
    <x v="246"/>
    <x v="3"/>
    <x v="0"/>
  </r>
  <r>
    <n v="591"/>
    <x v="5"/>
    <x v="4"/>
    <x v="5"/>
    <x v="3"/>
    <n v="54"/>
    <n v="7"/>
    <n v="2687"/>
    <n v="2.6"/>
    <x v="5"/>
    <x v="0"/>
    <n v="3038"/>
    <n v="32488"/>
    <n v="87"/>
    <x v="282"/>
    <x v="1"/>
    <x v="2"/>
  </r>
  <r>
    <n v="592"/>
    <x v="7"/>
    <x v="2"/>
    <x v="1"/>
    <x v="4"/>
    <n v="84"/>
    <n v="4.9000000000000004"/>
    <n v="2168"/>
    <n v="3.6"/>
    <x v="5"/>
    <x v="0"/>
    <n v="12793"/>
    <n v="104489"/>
    <n v="97"/>
    <x v="13"/>
    <x v="1"/>
    <x v="1"/>
  </r>
  <r>
    <n v="593"/>
    <x v="5"/>
    <x v="4"/>
    <x v="2"/>
    <x v="2"/>
    <n v="59"/>
    <n v="6.7"/>
    <n v="2474"/>
    <n v="2.2000000000000002"/>
    <x v="6"/>
    <x v="0"/>
    <n v="11725"/>
    <n v="37192"/>
    <n v="96"/>
    <x v="246"/>
    <x v="0"/>
    <x v="2"/>
  </r>
  <r>
    <n v="594"/>
    <x v="5"/>
    <x v="0"/>
    <x v="3"/>
    <x v="1"/>
    <n v="88"/>
    <n v="5.9"/>
    <n v="1480"/>
    <n v="2.8"/>
    <x v="3"/>
    <x v="3"/>
    <n v="14265"/>
    <n v="34766"/>
    <n v="88"/>
    <x v="170"/>
    <x v="0"/>
    <x v="1"/>
  </r>
  <r>
    <n v="595"/>
    <x v="8"/>
    <x v="1"/>
    <x v="1"/>
    <x v="1"/>
    <n v="42"/>
    <n v="7.9"/>
    <n v="2519"/>
    <n v="4.7"/>
    <x v="3"/>
    <x v="1"/>
    <n v="5640"/>
    <n v="107773"/>
    <n v="54"/>
    <x v="275"/>
    <x v="3"/>
    <x v="2"/>
  </r>
  <r>
    <n v="596"/>
    <x v="9"/>
    <x v="2"/>
    <x v="2"/>
    <x v="2"/>
    <n v="60"/>
    <n v="11.1"/>
    <n v="1674"/>
    <n v="3.6"/>
    <x v="0"/>
    <x v="2"/>
    <n v="14414"/>
    <n v="77412"/>
    <n v="53"/>
    <x v="78"/>
    <x v="3"/>
    <x v="2"/>
  </r>
  <r>
    <n v="597"/>
    <x v="5"/>
    <x v="1"/>
    <x v="3"/>
    <x v="2"/>
    <n v="60"/>
    <n v="5.6"/>
    <n v="1446"/>
    <n v="4.2"/>
    <x v="7"/>
    <x v="3"/>
    <n v="13309"/>
    <n v="44161"/>
    <n v="98"/>
    <x v="259"/>
    <x v="0"/>
    <x v="2"/>
  </r>
  <r>
    <n v="598"/>
    <x v="6"/>
    <x v="4"/>
    <x v="0"/>
    <x v="4"/>
    <n v="22"/>
    <n v="9.8000000000000007"/>
    <n v="951"/>
    <n v="2"/>
    <x v="2"/>
    <x v="1"/>
    <n v="9007"/>
    <n v="20511"/>
    <n v="84"/>
    <x v="188"/>
    <x v="0"/>
    <x v="0"/>
  </r>
  <r>
    <n v="599"/>
    <x v="9"/>
    <x v="1"/>
    <x v="5"/>
    <x v="4"/>
    <n v="70"/>
    <n v="7.6"/>
    <n v="1240"/>
    <n v="3.3"/>
    <x v="7"/>
    <x v="3"/>
    <n v="11842"/>
    <n v="91698"/>
    <n v="74"/>
    <x v="62"/>
    <x v="0"/>
    <x v="1"/>
  </r>
  <r>
    <n v="600"/>
    <x v="8"/>
    <x v="1"/>
    <x v="1"/>
    <x v="1"/>
    <n v="58"/>
    <n v="8"/>
    <n v="1492"/>
    <n v="4.9000000000000004"/>
    <x v="3"/>
    <x v="2"/>
    <n v="2649"/>
    <n v="78818"/>
    <n v="61"/>
    <x v="283"/>
    <x v="2"/>
    <x v="2"/>
  </r>
  <r>
    <n v="601"/>
    <x v="6"/>
    <x v="4"/>
    <x v="5"/>
    <x v="4"/>
    <n v="84"/>
    <n v="10"/>
    <n v="1157"/>
    <n v="2.4"/>
    <x v="0"/>
    <x v="2"/>
    <n v="6427"/>
    <n v="29977"/>
    <n v="76"/>
    <x v="84"/>
    <x v="3"/>
    <x v="0"/>
  </r>
  <r>
    <n v="602"/>
    <x v="6"/>
    <x v="4"/>
    <x v="0"/>
    <x v="4"/>
    <n v="47"/>
    <n v="9.8000000000000007"/>
    <n v="2662"/>
    <n v="1.9"/>
    <x v="7"/>
    <x v="3"/>
    <n v="1291"/>
    <n v="86280"/>
    <n v="69"/>
    <x v="154"/>
    <x v="2"/>
    <x v="0"/>
  </r>
  <r>
    <n v="603"/>
    <x v="9"/>
    <x v="4"/>
    <x v="4"/>
    <x v="2"/>
    <n v="24"/>
    <n v="8.1"/>
    <n v="1227"/>
    <n v="4.4000000000000004"/>
    <x v="5"/>
    <x v="4"/>
    <n v="6665"/>
    <n v="54617"/>
    <n v="59"/>
    <x v="39"/>
    <x v="3"/>
    <x v="2"/>
  </r>
  <r>
    <n v="604"/>
    <x v="6"/>
    <x v="4"/>
    <x v="4"/>
    <x v="3"/>
    <n v="90"/>
    <n v="6.6"/>
    <n v="1841"/>
    <n v="3.3"/>
    <x v="3"/>
    <x v="0"/>
    <n v="7100"/>
    <n v="57133"/>
    <n v="74"/>
    <x v="99"/>
    <x v="2"/>
    <x v="0"/>
  </r>
  <r>
    <n v="605"/>
    <x v="5"/>
    <x v="3"/>
    <x v="0"/>
    <x v="0"/>
    <n v="88"/>
    <n v="9.1"/>
    <n v="1884"/>
    <n v="2.9"/>
    <x v="1"/>
    <x v="0"/>
    <n v="1302"/>
    <n v="39632"/>
    <n v="91"/>
    <x v="50"/>
    <x v="3"/>
    <x v="0"/>
  </r>
  <r>
    <n v="606"/>
    <x v="9"/>
    <x v="0"/>
    <x v="3"/>
    <x v="1"/>
    <n v="66"/>
    <n v="8.1999999999999993"/>
    <n v="2739"/>
    <n v="4.3"/>
    <x v="4"/>
    <x v="3"/>
    <n v="1023"/>
    <n v="80326"/>
    <n v="79"/>
    <x v="137"/>
    <x v="2"/>
    <x v="0"/>
  </r>
  <r>
    <n v="607"/>
    <x v="6"/>
    <x v="3"/>
    <x v="2"/>
    <x v="0"/>
    <n v="28"/>
    <n v="10.199999999999999"/>
    <n v="1105"/>
    <n v="3.3"/>
    <x v="1"/>
    <x v="3"/>
    <n v="11956"/>
    <n v="78063"/>
    <n v="72"/>
    <x v="221"/>
    <x v="2"/>
    <x v="0"/>
  </r>
  <r>
    <n v="608"/>
    <x v="5"/>
    <x v="3"/>
    <x v="3"/>
    <x v="1"/>
    <n v="17"/>
    <n v="11.5"/>
    <n v="1931"/>
    <n v="4.5999999999999996"/>
    <x v="6"/>
    <x v="4"/>
    <n v="8332"/>
    <n v="26725"/>
    <n v="54"/>
    <x v="145"/>
    <x v="0"/>
    <x v="2"/>
  </r>
  <r>
    <n v="609"/>
    <x v="6"/>
    <x v="4"/>
    <x v="5"/>
    <x v="4"/>
    <n v="15"/>
    <n v="10.1"/>
    <n v="2472"/>
    <n v="4.8"/>
    <x v="0"/>
    <x v="3"/>
    <n v="6174"/>
    <n v="95461"/>
    <n v="66"/>
    <x v="159"/>
    <x v="0"/>
    <x v="1"/>
  </r>
  <r>
    <n v="610"/>
    <x v="7"/>
    <x v="2"/>
    <x v="4"/>
    <x v="0"/>
    <n v="37"/>
    <n v="7"/>
    <n v="2655"/>
    <n v="4"/>
    <x v="7"/>
    <x v="4"/>
    <n v="2977"/>
    <n v="65060"/>
    <n v="77"/>
    <x v="189"/>
    <x v="3"/>
    <x v="2"/>
  </r>
  <r>
    <n v="611"/>
    <x v="8"/>
    <x v="0"/>
    <x v="0"/>
    <x v="0"/>
    <n v="36"/>
    <n v="11.6"/>
    <n v="2216"/>
    <n v="4.9000000000000004"/>
    <x v="0"/>
    <x v="3"/>
    <n v="7978"/>
    <n v="72977"/>
    <n v="85"/>
    <x v="88"/>
    <x v="3"/>
    <x v="1"/>
  </r>
  <r>
    <n v="612"/>
    <x v="9"/>
    <x v="0"/>
    <x v="3"/>
    <x v="1"/>
    <n v="19"/>
    <n v="8.6"/>
    <n v="1821"/>
    <n v="3.8"/>
    <x v="3"/>
    <x v="2"/>
    <n v="13850"/>
    <n v="38370"/>
    <n v="92"/>
    <x v="270"/>
    <x v="3"/>
    <x v="2"/>
  </r>
  <r>
    <n v="613"/>
    <x v="6"/>
    <x v="4"/>
    <x v="1"/>
    <x v="2"/>
    <n v="80"/>
    <n v="11.3"/>
    <n v="2315"/>
    <n v="4.7"/>
    <x v="5"/>
    <x v="4"/>
    <n v="6096"/>
    <n v="32919"/>
    <n v="88"/>
    <x v="284"/>
    <x v="2"/>
    <x v="1"/>
  </r>
  <r>
    <n v="614"/>
    <x v="7"/>
    <x v="2"/>
    <x v="2"/>
    <x v="4"/>
    <n v="90"/>
    <n v="5.4"/>
    <n v="2467"/>
    <n v="1.5"/>
    <x v="1"/>
    <x v="2"/>
    <n v="12426"/>
    <n v="114557"/>
    <n v="98"/>
    <x v="269"/>
    <x v="1"/>
    <x v="2"/>
  </r>
  <r>
    <n v="615"/>
    <x v="6"/>
    <x v="1"/>
    <x v="2"/>
    <x v="4"/>
    <n v="47"/>
    <n v="10"/>
    <n v="2377"/>
    <n v="1.6"/>
    <x v="6"/>
    <x v="0"/>
    <n v="12690"/>
    <n v="58501"/>
    <n v="53"/>
    <x v="56"/>
    <x v="1"/>
    <x v="1"/>
  </r>
  <r>
    <n v="616"/>
    <x v="5"/>
    <x v="1"/>
    <x v="4"/>
    <x v="3"/>
    <n v="14"/>
    <n v="3.5"/>
    <n v="2116"/>
    <n v="2.4"/>
    <x v="4"/>
    <x v="0"/>
    <n v="5790"/>
    <n v="31659"/>
    <n v="84"/>
    <x v="285"/>
    <x v="0"/>
    <x v="1"/>
  </r>
  <r>
    <n v="617"/>
    <x v="5"/>
    <x v="3"/>
    <x v="1"/>
    <x v="3"/>
    <n v="74"/>
    <n v="4.9000000000000004"/>
    <n v="982"/>
    <n v="4.4000000000000004"/>
    <x v="6"/>
    <x v="3"/>
    <n v="4671"/>
    <n v="105442"/>
    <n v="100"/>
    <x v="1"/>
    <x v="0"/>
    <x v="0"/>
  </r>
  <r>
    <n v="618"/>
    <x v="9"/>
    <x v="2"/>
    <x v="3"/>
    <x v="4"/>
    <n v="76"/>
    <n v="3.1"/>
    <n v="1668"/>
    <n v="4.5999999999999996"/>
    <x v="5"/>
    <x v="0"/>
    <n v="12050"/>
    <n v="29700"/>
    <n v="83"/>
    <x v="147"/>
    <x v="1"/>
    <x v="1"/>
  </r>
  <r>
    <n v="619"/>
    <x v="5"/>
    <x v="1"/>
    <x v="0"/>
    <x v="3"/>
    <n v="26"/>
    <n v="7.7"/>
    <n v="2349"/>
    <n v="3.3"/>
    <x v="0"/>
    <x v="3"/>
    <n v="10534"/>
    <n v="67737"/>
    <n v="57"/>
    <x v="120"/>
    <x v="0"/>
    <x v="0"/>
  </r>
  <r>
    <n v="620"/>
    <x v="6"/>
    <x v="4"/>
    <x v="2"/>
    <x v="4"/>
    <n v="79"/>
    <n v="8.8000000000000007"/>
    <n v="2572"/>
    <n v="4.9000000000000004"/>
    <x v="4"/>
    <x v="4"/>
    <n v="11680"/>
    <n v="61505"/>
    <n v="72"/>
    <x v="286"/>
    <x v="0"/>
    <x v="0"/>
  </r>
  <r>
    <n v="621"/>
    <x v="5"/>
    <x v="1"/>
    <x v="2"/>
    <x v="4"/>
    <n v="33"/>
    <n v="11.2"/>
    <n v="1321"/>
    <n v="2.1"/>
    <x v="6"/>
    <x v="4"/>
    <n v="8014"/>
    <n v="53309"/>
    <n v="52"/>
    <x v="2"/>
    <x v="3"/>
    <x v="1"/>
  </r>
  <r>
    <n v="622"/>
    <x v="7"/>
    <x v="0"/>
    <x v="3"/>
    <x v="4"/>
    <n v="25"/>
    <n v="8"/>
    <n v="2786"/>
    <n v="3.5"/>
    <x v="1"/>
    <x v="1"/>
    <n v="7053"/>
    <n v="82609"/>
    <n v="67"/>
    <x v="225"/>
    <x v="1"/>
    <x v="0"/>
  </r>
  <r>
    <n v="623"/>
    <x v="7"/>
    <x v="0"/>
    <x v="5"/>
    <x v="4"/>
    <n v="86"/>
    <n v="10.9"/>
    <n v="2760"/>
    <n v="2.2999999999999998"/>
    <x v="6"/>
    <x v="2"/>
    <n v="2592"/>
    <n v="31709"/>
    <n v="78"/>
    <x v="15"/>
    <x v="0"/>
    <x v="0"/>
  </r>
  <r>
    <n v="624"/>
    <x v="7"/>
    <x v="4"/>
    <x v="4"/>
    <x v="3"/>
    <n v="47"/>
    <n v="5.3"/>
    <n v="820"/>
    <n v="3.7"/>
    <x v="2"/>
    <x v="2"/>
    <n v="7354"/>
    <n v="26675"/>
    <n v="63"/>
    <x v="241"/>
    <x v="3"/>
    <x v="2"/>
  </r>
  <r>
    <n v="625"/>
    <x v="5"/>
    <x v="4"/>
    <x v="3"/>
    <x v="2"/>
    <n v="31"/>
    <n v="5.4"/>
    <n v="2140"/>
    <n v="2.1"/>
    <x v="6"/>
    <x v="2"/>
    <n v="14302"/>
    <n v="100146"/>
    <n v="76"/>
    <x v="88"/>
    <x v="1"/>
    <x v="2"/>
  </r>
  <r>
    <n v="626"/>
    <x v="5"/>
    <x v="3"/>
    <x v="1"/>
    <x v="4"/>
    <n v="68"/>
    <n v="7.5"/>
    <n v="2221"/>
    <n v="4.5"/>
    <x v="1"/>
    <x v="0"/>
    <n v="3432"/>
    <n v="104408"/>
    <n v="75"/>
    <x v="61"/>
    <x v="2"/>
    <x v="0"/>
  </r>
  <r>
    <n v="627"/>
    <x v="8"/>
    <x v="3"/>
    <x v="5"/>
    <x v="4"/>
    <n v="78"/>
    <n v="8.5"/>
    <n v="2647"/>
    <n v="2"/>
    <x v="2"/>
    <x v="2"/>
    <n v="12649"/>
    <n v="99639"/>
    <n v="72"/>
    <x v="236"/>
    <x v="3"/>
    <x v="2"/>
  </r>
  <r>
    <n v="628"/>
    <x v="5"/>
    <x v="4"/>
    <x v="2"/>
    <x v="4"/>
    <n v="69"/>
    <n v="7.2"/>
    <n v="2019"/>
    <n v="3.7"/>
    <x v="6"/>
    <x v="4"/>
    <n v="12368"/>
    <n v="117785"/>
    <n v="83"/>
    <x v="159"/>
    <x v="1"/>
    <x v="1"/>
  </r>
  <r>
    <n v="629"/>
    <x v="6"/>
    <x v="0"/>
    <x v="4"/>
    <x v="3"/>
    <n v="27"/>
    <n v="4.2"/>
    <n v="2229"/>
    <n v="3.6"/>
    <x v="6"/>
    <x v="4"/>
    <n v="4766"/>
    <n v="56178"/>
    <n v="77"/>
    <x v="11"/>
    <x v="1"/>
    <x v="0"/>
  </r>
  <r>
    <n v="630"/>
    <x v="6"/>
    <x v="0"/>
    <x v="1"/>
    <x v="2"/>
    <n v="20"/>
    <n v="10"/>
    <n v="2872"/>
    <n v="2.1"/>
    <x v="4"/>
    <x v="1"/>
    <n v="2917"/>
    <n v="72463"/>
    <n v="74"/>
    <x v="240"/>
    <x v="0"/>
    <x v="0"/>
  </r>
  <r>
    <n v="631"/>
    <x v="9"/>
    <x v="1"/>
    <x v="1"/>
    <x v="4"/>
    <n v="23"/>
    <n v="4"/>
    <n v="2235"/>
    <n v="3.5"/>
    <x v="7"/>
    <x v="1"/>
    <n v="1411"/>
    <n v="43049"/>
    <n v="81"/>
    <x v="287"/>
    <x v="3"/>
    <x v="2"/>
  </r>
  <r>
    <n v="632"/>
    <x v="8"/>
    <x v="1"/>
    <x v="5"/>
    <x v="3"/>
    <n v="66"/>
    <n v="9.8000000000000007"/>
    <n v="2942"/>
    <n v="3.7"/>
    <x v="1"/>
    <x v="3"/>
    <n v="7076"/>
    <n v="107629"/>
    <n v="77"/>
    <x v="198"/>
    <x v="2"/>
    <x v="0"/>
  </r>
  <r>
    <n v="633"/>
    <x v="7"/>
    <x v="0"/>
    <x v="0"/>
    <x v="1"/>
    <n v="80"/>
    <n v="3.3"/>
    <n v="1053"/>
    <n v="2.4"/>
    <x v="7"/>
    <x v="0"/>
    <n v="5008"/>
    <n v="48752"/>
    <n v="52"/>
    <x v="197"/>
    <x v="0"/>
    <x v="2"/>
  </r>
  <r>
    <n v="634"/>
    <x v="5"/>
    <x v="4"/>
    <x v="4"/>
    <x v="1"/>
    <n v="77"/>
    <n v="6.1"/>
    <n v="1668"/>
    <n v="4.2"/>
    <x v="2"/>
    <x v="3"/>
    <n v="9610"/>
    <n v="22423"/>
    <n v="83"/>
    <x v="33"/>
    <x v="2"/>
    <x v="0"/>
  </r>
  <r>
    <n v="635"/>
    <x v="9"/>
    <x v="3"/>
    <x v="2"/>
    <x v="1"/>
    <n v="28"/>
    <n v="4.5"/>
    <n v="2231"/>
    <n v="3.1"/>
    <x v="5"/>
    <x v="2"/>
    <n v="4932"/>
    <n v="90621"/>
    <n v="65"/>
    <x v="164"/>
    <x v="1"/>
    <x v="2"/>
  </r>
  <r>
    <n v="636"/>
    <x v="9"/>
    <x v="0"/>
    <x v="3"/>
    <x v="0"/>
    <n v="52"/>
    <n v="9.1"/>
    <n v="928"/>
    <n v="5"/>
    <x v="3"/>
    <x v="2"/>
    <n v="12440"/>
    <n v="75426"/>
    <n v="60"/>
    <x v="55"/>
    <x v="2"/>
    <x v="2"/>
  </r>
  <r>
    <n v="637"/>
    <x v="6"/>
    <x v="3"/>
    <x v="0"/>
    <x v="2"/>
    <n v="59"/>
    <n v="3.4"/>
    <n v="2341"/>
    <n v="3.7"/>
    <x v="0"/>
    <x v="3"/>
    <n v="11011"/>
    <n v="53315"/>
    <n v="93"/>
    <x v="250"/>
    <x v="2"/>
    <x v="2"/>
  </r>
  <r>
    <n v="638"/>
    <x v="6"/>
    <x v="3"/>
    <x v="0"/>
    <x v="4"/>
    <n v="80"/>
    <n v="3.8"/>
    <n v="1639"/>
    <n v="4.5"/>
    <x v="4"/>
    <x v="1"/>
    <n v="14167"/>
    <n v="105043"/>
    <n v="68"/>
    <x v="7"/>
    <x v="2"/>
    <x v="1"/>
  </r>
  <r>
    <n v="639"/>
    <x v="8"/>
    <x v="3"/>
    <x v="4"/>
    <x v="1"/>
    <n v="65"/>
    <n v="3.8"/>
    <n v="1511"/>
    <n v="3.8"/>
    <x v="0"/>
    <x v="3"/>
    <n v="3077"/>
    <n v="35687"/>
    <n v="57"/>
    <x v="103"/>
    <x v="1"/>
    <x v="2"/>
  </r>
  <r>
    <n v="640"/>
    <x v="6"/>
    <x v="0"/>
    <x v="5"/>
    <x v="4"/>
    <n v="64"/>
    <n v="5.4"/>
    <n v="1262"/>
    <n v="2"/>
    <x v="2"/>
    <x v="1"/>
    <n v="8776"/>
    <n v="103545"/>
    <n v="96"/>
    <x v="36"/>
    <x v="3"/>
    <x v="1"/>
  </r>
  <r>
    <n v="641"/>
    <x v="8"/>
    <x v="4"/>
    <x v="5"/>
    <x v="1"/>
    <n v="66"/>
    <n v="3.9"/>
    <n v="2408"/>
    <n v="3.1"/>
    <x v="5"/>
    <x v="3"/>
    <n v="3972"/>
    <n v="35907"/>
    <n v="84"/>
    <x v="90"/>
    <x v="3"/>
    <x v="1"/>
  </r>
  <r>
    <n v="642"/>
    <x v="7"/>
    <x v="1"/>
    <x v="5"/>
    <x v="4"/>
    <n v="34"/>
    <n v="6.9"/>
    <n v="1477"/>
    <n v="2"/>
    <x v="1"/>
    <x v="4"/>
    <n v="1970"/>
    <n v="110420"/>
    <n v="98"/>
    <x v="227"/>
    <x v="3"/>
    <x v="2"/>
  </r>
  <r>
    <n v="643"/>
    <x v="7"/>
    <x v="4"/>
    <x v="0"/>
    <x v="1"/>
    <n v="11"/>
    <n v="3.4"/>
    <n v="1928"/>
    <n v="3.6"/>
    <x v="0"/>
    <x v="2"/>
    <n v="5592"/>
    <n v="36683"/>
    <n v="72"/>
    <x v="12"/>
    <x v="1"/>
    <x v="0"/>
  </r>
  <r>
    <n v="644"/>
    <x v="9"/>
    <x v="4"/>
    <x v="1"/>
    <x v="1"/>
    <n v="71"/>
    <n v="11.7"/>
    <n v="1978"/>
    <n v="4.9000000000000004"/>
    <x v="4"/>
    <x v="0"/>
    <n v="10381"/>
    <n v="65343"/>
    <n v="78"/>
    <x v="140"/>
    <x v="0"/>
    <x v="2"/>
  </r>
  <r>
    <n v="645"/>
    <x v="6"/>
    <x v="1"/>
    <x v="5"/>
    <x v="1"/>
    <n v="12"/>
    <n v="6.2"/>
    <n v="1306"/>
    <n v="1.9"/>
    <x v="1"/>
    <x v="2"/>
    <n v="2643"/>
    <n v="47418"/>
    <n v="67"/>
    <x v="30"/>
    <x v="2"/>
    <x v="1"/>
  </r>
  <r>
    <n v="646"/>
    <x v="5"/>
    <x v="0"/>
    <x v="4"/>
    <x v="3"/>
    <n v="69"/>
    <n v="8.1"/>
    <n v="2685"/>
    <n v="1.9"/>
    <x v="4"/>
    <x v="2"/>
    <n v="2583"/>
    <n v="27610"/>
    <n v="63"/>
    <x v="41"/>
    <x v="0"/>
    <x v="2"/>
  </r>
  <r>
    <n v="647"/>
    <x v="8"/>
    <x v="4"/>
    <x v="0"/>
    <x v="2"/>
    <n v="64"/>
    <n v="8.1"/>
    <n v="2883"/>
    <n v="2.8"/>
    <x v="0"/>
    <x v="1"/>
    <n v="11111"/>
    <n v="88741"/>
    <n v="67"/>
    <x v="8"/>
    <x v="3"/>
    <x v="2"/>
  </r>
  <r>
    <n v="648"/>
    <x v="7"/>
    <x v="1"/>
    <x v="0"/>
    <x v="3"/>
    <n v="37"/>
    <n v="3.6"/>
    <n v="2293"/>
    <n v="1.9"/>
    <x v="6"/>
    <x v="0"/>
    <n v="6969"/>
    <n v="58188"/>
    <n v="85"/>
    <x v="184"/>
    <x v="1"/>
    <x v="1"/>
  </r>
  <r>
    <n v="649"/>
    <x v="7"/>
    <x v="0"/>
    <x v="4"/>
    <x v="2"/>
    <n v="62"/>
    <n v="10.3"/>
    <n v="1455"/>
    <n v="2.2000000000000002"/>
    <x v="3"/>
    <x v="2"/>
    <n v="3376"/>
    <n v="77381"/>
    <n v="66"/>
    <x v="85"/>
    <x v="0"/>
    <x v="0"/>
  </r>
  <r>
    <n v="650"/>
    <x v="6"/>
    <x v="0"/>
    <x v="0"/>
    <x v="2"/>
    <n v="62"/>
    <n v="11.4"/>
    <n v="2231"/>
    <n v="4.3"/>
    <x v="6"/>
    <x v="4"/>
    <n v="11876"/>
    <n v="52861"/>
    <n v="75"/>
    <x v="288"/>
    <x v="0"/>
    <x v="0"/>
  </r>
  <r>
    <n v="651"/>
    <x v="7"/>
    <x v="2"/>
    <x v="4"/>
    <x v="1"/>
    <n v="40"/>
    <n v="11.6"/>
    <n v="2125"/>
    <n v="2.4"/>
    <x v="1"/>
    <x v="3"/>
    <n v="7730"/>
    <n v="52809"/>
    <n v="63"/>
    <x v="289"/>
    <x v="3"/>
    <x v="1"/>
  </r>
  <r>
    <n v="652"/>
    <x v="9"/>
    <x v="2"/>
    <x v="5"/>
    <x v="1"/>
    <n v="20"/>
    <n v="8.1999999999999993"/>
    <n v="1138"/>
    <n v="2.2000000000000002"/>
    <x v="4"/>
    <x v="0"/>
    <n v="3584"/>
    <n v="43831"/>
    <n v="85"/>
    <x v="10"/>
    <x v="0"/>
    <x v="0"/>
  </r>
  <r>
    <n v="653"/>
    <x v="8"/>
    <x v="4"/>
    <x v="1"/>
    <x v="1"/>
    <n v="12"/>
    <n v="11.5"/>
    <n v="2827"/>
    <n v="4.7"/>
    <x v="1"/>
    <x v="4"/>
    <n v="7271"/>
    <n v="56465"/>
    <n v="84"/>
    <x v="21"/>
    <x v="0"/>
    <x v="0"/>
  </r>
  <r>
    <n v="654"/>
    <x v="6"/>
    <x v="3"/>
    <x v="4"/>
    <x v="2"/>
    <n v="19"/>
    <n v="6"/>
    <n v="2717"/>
    <n v="4.9000000000000004"/>
    <x v="2"/>
    <x v="0"/>
    <n v="6114"/>
    <n v="46730"/>
    <n v="70"/>
    <x v="184"/>
    <x v="3"/>
    <x v="1"/>
  </r>
  <r>
    <n v="655"/>
    <x v="6"/>
    <x v="0"/>
    <x v="1"/>
    <x v="4"/>
    <n v="77"/>
    <n v="4.7"/>
    <n v="2874"/>
    <n v="2"/>
    <x v="4"/>
    <x v="0"/>
    <n v="2446"/>
    <n v="105488"/>
    <n v="94"/>
    <x v="149"/>
    <x v="1"/>
    <x v="2"/>
  </r>
  <r>
    <n v="656"/>
    <x v="7"/>
    <x v="1"/>
    <x v="2"/>
    <x v="1"/>
    <n v="85"/>
    <n v="8.1999999999999993"/>
    <n v="949"/>
    <n v="3.5"/>
    <x v="2"/>
    <x v="3"/>
    <n v="2711"/>
    <n v="105168"/>
    <n v="68"/>
    <x v="290"/>
    <x v="1"/>
    <x v="0"/>
  </r>
  <r>
    <n v="657"/>
    <x v="9"/>
    <x v="1"/>
    <x v="2"/>
    <x v="1"/>
    <n v="84"/>
    <n v="8.1999999999999993"/>
    <n v="1920"/>
    <n v="2"/>
    <x v="5"/>
    <x v="2"/>
    <n v="6686"/>
    <n v="66637"/>
    <n v="99"/>
    <x v="196"/>
    <x v="0"/>
    <x v="1"/>
  </r>
  <r>
    <n v="658"/>
    <x v="8"/>
    <x v="1"/>
    <x v="3"/>
    <x v="0"/>
    <n v="45"/>
    <n v="3.9"/>
    <n v="890"/>
    <n v="3"/>
    <x v="1"/>
    <x v="4"/>
    <n v="1299"/>
    <n v="34747"/>
    <n v="52"/>
    <x v="21"/>
    <x v="0"/>
    <x v="2"/>
  </r>
  <r>
    <n v="659"/>
    <x v="7"/>
    <x v="3"/>
    <x v="4"/>
    <x v="2"/>
    <n v="89"/>
    <n v="7.3"/>
    <n v="2826"/>
    <n v="4.2"/>
    <x v="1"/>
    <x v="4"/>
    <n v="2577"/>
    <n v="74757"/>
    <n v="71"/>
    <x v="202"/>
    <x v="1"/>
    <x v="0"/>
  </r>
  <r>
    <n v="660"/>
    <x v="9"/>
    <x v="4"/>
    <x v="3"/>
    <x v="3"/>
    <n v="80"/>
    <n v="4.2"/>
    <n v="882"/>
    <n v="4.5"/>
    <x v="6"/>
    <x v="0"/>
    <n v="8952"/>
    <n v="87750"/>
    <n v="84"/>
    <x v="0"/>
    <x v="1"/>
    <x v="0"/>
  </r>
  <r>
    <n v="661"/>
    <x v="9"/>
    <x v="1"/>
    <x v="4"/>
    <x v="1"/>
    <n v="66"/>
    <n v="4.3"/>
    <n v="855"/>
    <n v="2"/>
    <x v="2"/>
    <x v="0"/>
    <n v="3833"/>
    <n v="43900"/>
    <n v="93"/>
    <x v="114"/>
    <x v="0"/>
    <x v="2"/>
  </r>
  <r>
    <n v="662"/>
    <x v="5"/>
    <x v="0"/>
    <x v="0"/>
    <x v="4"/>
    <n v="38"/>
    <n v="4.7"/>
    <n v="2971"/>
    <n v="4.7"/>
    <x v="1"/>
    <x v="2"/>
    <n v="4611"/>
    <n v="24733"/>
    <n v="78"/>
    <x v="122"/>
    <x v="2"/>
    <x v="1"/>
  </r>
  <r>
    <n v="663"/>
    <x v="6"/>
    <x v="1"/>
    <x v="5"/>
    <x v="2"/>
    <n v="88"/>
    <n v="4.7"/>
    <n v="1425"/>
    <n v="2.6"/>
    <x v="4"/>
    <x v="0"/>
    <n v="6455"/>
    <n v="27693"/>
    <n v="98"/>
    <x v="291"/>
    <x v="3"/>
    <x v="2"/>
  </r>
  <r>
    <n v="664"/>
    <x v="6"/>
    <x v="4"/>
    <x v="0"/>
    <x v="3"/>
    <n v="33"/>
    <n v="11.4"/>
    <n v="2234"/>
    <n v="1.7"/>
    <x v="5"/>
    <x v="3"/>
    <n v="6713"/>
    <n v="107664"/>
    <n v="79"/>
    <x v="207"/>
    <x v="2"/>
    <x v="2"/>
  </r>
  <r>
    <n v="665"/>
    <x v="6"/>
    <x v="2"/>
    <x v="4"/>
    <x v="4"/>
    <n v="16"/>
    <n v="6.9"/>
    <n v="1213"/>
    <n v="4.5"/>
    <x v="5"/>
    <x v="0"/>
    <n v="14829"/>
    <n v="54406"/>
    <n v="75"/>
    <x v="225"/>
    <x v="3"/>
    <x v="1"/>
  </r>
  <r>
    <n v="666"/>
    <x v="8"/>
    <x v="4"/>
    <x v="1"/>
    <x v="4"/>
    <n v="53"/>
    <n v="8.1"/>
    <n v="1194"/>
    <n v="3.2"/>
    <x v="7"/>
    <x v="0"/>
    <n v="11893"/>
    <n v="31380"/>
    <n v="66"/>
    <x v="142"/>
    <x v="1"/>
    <x v="0"/>
  </r>
  <r>
    <n v="667"/>
    <x v="9"/>
    <x v="1"/>
    <x v="5"/>
    <x v="4"/>
    <n v="15"/>
    <n v="6.8"/>
    <n v="1847"/>
    <n v="3.1"/>
    <x v="2"/>
    <x v="1"/>
    <n v="12776"/>
    <n v="87654"/>
    <n v="68"/>
    <x v="205"/>
    <x v="0"/>
    <x v="0"/>
  </r>
  <r>
    <n v="668"/>
    <x v="5"/>
    <x v="3"/>
    <x v="3"/>
    <x v="0"/>
    <n v="80"/>
    <n v="10.199999999999999"/>
    <n v="1102"/>
    <n v="4.9000000000000004"/>
    <x v="7"/>
    <x v="2"/>
    <n v="12916"/>
    <n v="30482"/>
    <n v="87"/>
    <x v="10"/>
    <x v="1"/>
    <x v="0"/>
  </r>
  <r>
    <n v="669"/>
    <x v="9"/>
    <x v="1"/>
    <x v="0"/>
    <x v="3"/>
    <n v="31"/>
    <n v="10.199999999999999"/>
    <n v="2590"/>
    <n v="3.6"/>
    <x v="2"/>
    <x v="4"/>
    <n v="7869"/>
    <n v="90626"/>
    <n v="61"/>
    <x v="194"/>
    <x v="0"/>
    <x v="2"/>
  </r>
  <r>
    <n v="670"/>
    <x v="8"/>
    <x v="0"/>
    <x v="1"/>
    <x v="1"/>
    <n v="30"/>
    <n v="3.3"/>
    <n v="2525"/>
    <n v="3.2"/>
    <x v="0"/>
    <x v="2"/>
    <n v="10208"/>
    <n v="78012"/>
    <n v="73"/>
    <x v="228"/>
    <x v="0"/>
    <x v="0"/>
  </r>
  <r>
    <n v="671"/>
    <x v="9"/>
    <x v="1"/>
    <x v="4"/>
    <x v="2"/>
    <n v="63"/>
    <n v="3.4"/>
    <n v="1419"/>
    <n v="3.4"/>
    <x v="5"/>
    <x v="0"/>
    <n v="4543"/>
    <n v="43832"/>
    <n v="97"/>
    <x v="91"/>
    <x v="1"/>
    <x v="2"/>
  </r>
  <r>
    <n v="672"/>
    <x v="9"/>
    <x v="1"/>
    <x v="5"/>
    <x v="4"/>
    <n v="85"/>
    <n v="8.6999999999999993"/>
    <n v="1103"/>
    <n v="4.0999999999999996"/>
    <x v="1"/>
    <x v="1"/>
    <n v="10302"/>
    <n v="79139"/>
    <n v="90"/>
    <x v="173"/>
    <x v="1"/>
    <x v="0"/>
  </r>
  <r>
    <n v="673"/>
    <x v="5"/>
    <x v="2"/>
    <x v="4"/>
    <x v="4"/>
    <n v="43"/>
    <n v="3.8"/>
    <n v="2619"/>
    <n v="2.8"/>
    <x v="3"/>
    <x v="1"/>
    <n v="10325"/>
    <n v="67384"/>
    <n v="78"/>
    <x v="15"/>
    <x v="1"/>
    <x v="0"/>
  </r>
  <r>
    <n v="674"/>
    <x v="8"/>
    <x v="4"/>
    <x v="2"/>
    <x v="3"/>
    <n v="30"/>
    <n v="9.1"/>
    <n v="2452"/>
    <n v="2.4"/>
    <x v="2"/>
    <x v="4"/>
    <n v="5745"/>
    <n v="93684"/>
    <n v="84"/>
    <x v="292"/>
    <x v="1"/>
    <x v="1"/>
  </r>
  <r>
    <n v="675"/>
    <x v="7"/>
    <x v="1"/>
    <x v="4"/>
    <x v="0"/>
    <n v="20"/>
    <n v="5.5"/>
    <n v="1646"/>
    <n v="1.8"/>
    <x v="0"/>
    <x v="2"/>
    <n v="14041"/>
    <n v="97801"/>
    <n v="92"/>
    <x v="210"/>
    <x v="1"/>
    <x v="1"/>
  </r>
  <r>
    <n v="676"/>
    <x v="7"/>
    <x v="0"/>
    <x v="5"/>
    <x v="2"/>
    <n v="87"/>
    <n v="5.5"/>
    <n v="1736"/>
    <n v="3.4"/>
    <x v="2"/>
    <x v="4"/>
    <n v="11150"/>
    <n v="111112"/>
    <n v="90"/>
    <x v="116"/>
    <x v="2"/>
    <x v="2"/>
  </r>
  <r>
    <n v="677"/>
    <x v="8"/>
    <x v="1"/>
    <x v="5"/>
    <x v="4"/>
    <n v="55"/>
    <n v="11.8"/>
    <n v="2722"/>
    <n v="4.3"/>
    <x v="4"/>
    <x v="1"/>
    <n v="12096"/>
    <n v="70746"/>
    <n v="86"/>
    <x v="65"/>
    <x v="3"/>
    <x v="0"/>
  </r>
  <r>
    <n v="678"/>
    <x v="9"/>
    <x v="4"/>
    <x v="5"/>
    <x v="2"/>
    <n v="62"/>
    <n v="11.8"/>
    <n v="1480"/>
    <n v="1.6"/>
    <x v="6"/>
    <x v="4"/>
    <n v="7446"/>
    <n v="112992"/>
    <n v="60"/>
    <x v="73"/>
    <x v="3"/>
    <x v="1"/>
  </r>
  <r>
    <n v="679"/>
    <x v="5"/>
    <x v="1"/>
    <x v="5"/>
    <x v="0"/>
    <n v="64"/>
    <n v="5.6"/>
    <n v="2095"/>
    <n v="4.2"/>
    <x v="5"/>
    <x v="2"/>
    <n v="5818"/>
    <n v="67685"/>
    <n v="51"/>
    <x v="200"/>
    <x v="3"/>
    <x v="2"/>
  </r>
  <r>
    <n v="680"/>
    <x v="6"/>
    <x v="0"/>
    <x v="5"/>
    <x v="2"/>
    <n v="17"/>
    <n v="3.8"/>
    <n v="970"/>
    <n v="2.4"/>
    <x v="3"/>
    <x v="0"/>
    <n v="6557"/>
    <n v="83373"/>
    <n v="87"/>
    <x v="244"/>
    <x v="1"/>
    <x v="0"/>
  </r>
  <r>
    <n v="681"/>
    <x v="8"/>
    <x v="1"/>
    <x v="3"/>
    <x v="1"/>
    <n v="79"/>
    <n v="3.3"/>
    <n v="915"/>
    <n v="4.3"/>
    <x v="2"/>
    <x v="3"/>
    <n v="13190"/>
    <n v="66534"/>
    <n v="51"/>
    <x v="138"/>
    <x v="2"/>
    <x v="2"/>
  </r>
  <r>
    <n v="682"/>
    <x v="5"/>
    <x v="4"/>
    <x v="4"/>
    <x v="4"/>
    <n v="22"/>
    <n v="5.9"/>
    <n v="2175"/>
    <n v="2.4"/>
    <x v="1"/>
    <x v="0"/>
    <n v="11516"/>
    <n v="54992"/>
    <n v="80"/>
    <x v="232"/>
    <x v="3"/>
    <x v="2"/>
  </r>
  <r>
    <n v="683"/>
    <x v="9"/>
    <x v="4"/>
    <x v="0"/>
    <x v="4"/>
    <n v="90"/>
    <n v="11.3"/>
    <n v="2771"/>
    <n v="4.4000000000000004"/>
    <x v="4"/>
    <x v="1"/>
    <n v="8809"/>
    <n v="86999"/>
    <n v="54"/>
    <x v="205"/>
    <x v="3"/>
    <x v="2"/>
  </r>
  <r>
    <n v="684"/>
    <x v="6"/>
    <x v="1"/>
    <x v="4"/>
    <x v="4"/>
    <n v="83"/>
    <n v="7.8"/>
    <n v="2879"/>
    <n v="3.4"/>
    <x v="4"/>
    <x v="2"/>
    <n v="12268"/>
    <n v="45731"/>
    <n v="50"/>
    <x v="81"/>
    <x v="3"/>
    <x v="1"/>
  </r>
  <r>
    <n v="685"/>
    <x v="6"/>
    <x v="3"/>
    <x v="0"/>
    <x v="1"/>
    <n v="83"/>
    <n v="10"/>
    <n v="979"/>
    <n v="2.8"/>
    <x v="4"/>
    <x v="1"/>
    <n v="4960"/>
    <n v="74290"/>
    <n v="75"/>
    <x v="293"/>
    <x v="0"/>
    <x v="2"/>
  </r>
  <r>
    <n v="686"/>
    <x v="5"/>
    <x v="2"/>
    <x v="1"/>
    <x v="1"/>
    <n v="68"/>
    <n v="9.5"/>
    <n v="1473"/>
    <n v="1.6"/>
    <x v="3"/>
    <x v="0"/>
    <n v="4370"/>
    <n v="65240"/>
    <n v="55"/>
    <x v="68"/>
    <x v="1"/>
    <x v="1"/>
  </r>
  <r>
    <n v="687"/>
    <x v="9"/>
    <x v="4"/>
    <x v="0"/>
    <x v="4"/>
    <n v="53"/>
    <n v="11"/>
    <n v="1665"/>
    <n v="3.7"/>
    <x v="1"/>
    <x v="0"/>
    <n v="14189"/>
    <n v="103487"/>
    <n v="66"/>
    <x v="294"/>
    <x v="0"/>
    <x v="0"/>
  </r>
  <r>
    <n v="688"/>
    <x v="7"/>
    <x v="4"/>
    <x v="0"/>
    <x v="3"/>
    <n v="18"/>
    <n v="4.5"/>
    <n v="1780"/>
    <n v="3.9"/>
    <x v="4"/>
    <x v="1"/>
    <n v="4633"/>
    <n v="72672"/>
    <n v="92"/>
    <x v="295"/>
    <x v="0"/>
    <x v="2"/>
  </r>
  <r>
    <n v="689"/>
    <x v="5"/>
    <x v="4"/>
    <x v="0"/>
    <x v="3"/>
    <n v="36"/>
    <n v="5.7"/>
    <n v="2870"/>
    <n v="3.3"/>
    <x v="1"/>
    <x v="4"/>
    <n v="3379"/>
    <n v="105635"/>
    <n v="73"/>
    <x v="296"/>
    <x v="2"/>
    <x v="1"/>
  </r>
  <r>
    <n v="690"/>
    <x v="8"/>
    <x v="3"/>
    <x v="5"/>
    <x v="2"/>
    <n v="32"/>
    <n v="7.6"/>
    <n v="1888"/>
    <n v="3.7"/>
    <x v="7"/>
    <x v="0"/>
    <n v="10747"/>
    <n v="54336"/>
    <n v="92"/>
    <x v="144"/>
    <x v="3"/>
    <x v="1"/>
  </r>
  <r>
    <n v="691"/>
    <x v="7"/>
    <x v="3"/>
    <x v="2"/>
    <x v="2"/>
    <n v="33"/>
    <n v="6.1"/>
    <n v="900"/>
    <n v="4.8"/>
    <x v="1"/>
    <x v="1"/>
    <n v="5076"/>
    <n v="92346"/>
    <n v="83"/>
    <x v="27"/>
    <x v="2"/>
    <x v="2"/>
  </r>
  <r>
    <n v="692"/>
    <x v="8"/>
    <x v="1"/>
    <x v="3"/>
    <x v="3"/>
    <n v="89"/>
    <n v="10.6"/>
    <n v="1797"/>
    <n v="3.8"/>
    <x v="4"/>
    <x v="4"/>
    <n v="9345"/>
    <n v="93421"/>
    <n v="56"/>
    <x v="114"/>
    <x v="3"/>
    <x v="2"/>
  </r>
  <r>
    <n v="693"/>
    <x v="6"/>
    <x v="4"/>
    <x v="4"/>
    <x v="2"/>
    <n v="61"/>
    <n v="10.3"/>
    <n v="2570"/>
    <n v="3"/>
    <x v="7"/>
    <x v="0"/>
    <n v="9056"/>
    <n v="104462"/>
    <n v="85"/>
    <x v="287"/>
    <x v="1"/>
    <x v="2"/>
  </r>
  <r>
    <n v="694"/>
    <x v="8"/>
    <x v="2"/>
    <x v="0"/>
    <x v="1"/>
    <n v="85"/>
    <n v="5.7"/>
    <n v="2951"/>
    <n v="1.9"/>
    <x v="7"/>
    <x v="2"/>
    <n v="5681"/>
    <n v="52527"/>
    <n v="76"/>
    <x v="297"/>
    <x v="2"/>
    <x v="1"/>
  </r>
  <r>
    <n v="695"/>
    <x v="5"/>
    <x v="2"/>
    <x v="1"/>
    <x v="3"/>
    <n v="46"/>
    <n v="4.5"/>
    <n v="1212"/>
    <n v="2.5"/>
    <x v="0"/>
    <x v="3"/>
    <n v="13155"/>
    <n v="91971"/>
    <n v="86"/>
    <x v="18"/>
    <x v="3"/>
    <x v="2"/>
  </r>
  <r>
    <n v="696"/>
    <x v="5"/>
    <x v="0"/>
    <x v="2"/>
    <x v="0"/>
    <n v="67"/>
    <n v="9.5"/>
    <n v="1246"/>
    <n v="1.9"/>
    <x v="3"/>
    <x v="0"/>
    <n v="9561"/>
    <n v="70852"/>
    <n v="56"/>
    <x v="187"/>
    <x v="0"/>
    <x v="0"/>
  </r>
  <r>
    <n v="697"/>
    <x v="8"/>
    <x v="4"/>
    <x v="0"/>
    <x v="3"/>
    <n v="74"/>
    <n v="3.5"/>
    <n v="1456"/>
    <n v="4.5"/>
    <x v="5"/>
    <x v="4"/>
    <n v="3423"/>
    <n v="111642"/>
    <n v="66"/>
    <x v="209"/>
    <x v="1"/>
    <x v="0"/>
  </r>
  <r>
    <n v="698"/>
    <x v="9"/>
    <x v="1"/>
    <x v="2"/>
    <x v="4"/>
    <n v="51"/>
    <n v="5.3"/>
    <n v="2668"/>
    <n v="1.8"/>
    <x v="0"/>
    <x v="2"/>
    <n v="11881"/>
    <n v="39077"/>
    <n v="84"/>
    <x v="143"/>
    <x v="0"/>
    <x v="1"/>
  </r>
  <r>
    <n v="699"/>
    <x v="8"/>
    <x v="2"/>
    <x v="0"/>
    <x v="4"/>
    <n v="42"/>
    <n v="8.1"/>
    <n v="1723"/>
    <n v="4.5999999999999996"/>
    <x v="1"/>
    <x v="1"/>
    <n v="4188"/>
    <n v="55234"/>
    <n v="88"/>
    <x v="298"/>
    <x v="1"/>
    <x v="1"/>
  </r>
  <r>
    <n v="700"/>
    <x v="6"/>
    <x v="1"/>
    <x v="1"/>
    <x v="3"/>
    <n v="61"/>
    <n v="4.2"/>
    <n v="2048"/>
    <n v="1.7"/>
    <x v="7"/>
    <x v="2"/>
    <n v="4849"/>
    <n v="108397"/>
    <n v="63"/>
    <x v="299"/>
    <x v="1"/>
    <x v="2"/>
  </r>
  <r>
    <n v="701"/>
    <x v="6"/>
    <x v="1"/>
    <x v="1"/>
    <x v="3"/>
    <n v="37"/>
    <n v="11.9"/>
    <n v="2854"/>
    <n v="3"/>
    <x v="0"/>
    <x v="2"/>
    <n v="7288"/>
    <n v="67158"/>
    <n v="91"/>
    <x v="260"/>
    <x v="2"/>
    <x v="2"/>
  </r>
  <r>
    <n v="702"/>
    <x v="9"/>
    <x v="2"/>
    <x v="2"/>
    <x v="4"/>
    <n v="78"/>
    <n v="10.7"/>
    <n v="1251"/>
    <n v="2.7"/>
    <x v="0"/>
    <x v="4"/>
    <n v="5007"/>
    <n v="105922"/>
    <n v="55"/>
    <x v="291"/>
    <x v="1"/>
    <x v="1"/>
  </r>
  <r>
    <n v="703"/>
    <x v="7"/>
    <x v="4"/>
    <x v="1"/>
    <x v="0"/>
    <n v="39"/>
    <n v="3.9"/>
    <n v="2366"/>
    <n v="3.3"/>
    <x v="7"/>
    <x v="3"/>
    <n v="7879"/>
    <n v="75572"/>
    <n v="74"/>
    <x v="77"/>
    <x v="2"/>
    <x v="2"/>
  </r>
  <r>
    <n v="704"/>
    <x v="8"/>
    <x v="4"/>
    <x v="0"/>
    <x v="2"/>
    <n v="84"/>
    <n v="5.0999999999999996"/>
    <n v="1884"/>
    <n v="1.9"/>
    <x v="5"/>
    <x v="3"/>
    <n v="14890"/>
    <n v="109715"/>
    <n v="91"/>
    <x v="61"/>
    <x v="3"/>
    <x v="1"/>
  </r>
  <r>
    <n v="705"/>
    <x v="6"/>
    <x v="1"/>
    <x v="0"/>
    <x v="0"/>
    <n v="26"/>
    <n v="10.7"/>
    <n v="2895"/>
    <n v="2.8"/>
    <x v="6"/>
    <x v="4"/>
    <n v="4861"/>
    <n v="103372"/>
    <n v="68"/>
    <x v="259"/>
    <x v="2"/>
    <x v="0"/>
  </r>
  <r>
    <n v="706"/>
    <x v="9"/>
    <x v="2"/>
    <x v="5"/>
    <x v="0"/>
    <n v="19"/>
    <n v="11.5"/>
    <n v="2006"/>
    <n v="2.6"/>
    <x v="3"/>
    <x v="3"/>
    <n v="13728"/>
    <n v="31330"/>
    <n v="53"/>
    <x v="221"/>
    <x v="3"/>
    <x v="1"/>
  </r>
  <r>
    <n v="707"/>
    <x v="7"/>
    <x v="0"/>
    <x v="2"/>
    <x v="3"/>
    <n v="59"/>
    <n v="6"/>
    <n v="1642"/>
    <n v="2"/>
    <x v="7"/>
    <x v="3"/>
    <n v="4486"/>
    <n v="57607"/>
    <n v="94"/>
    <x v="189"/>
    <x v="2"/>
    <x v="1"/>
  </r>
  <r>
    <n v="708"/>
    <x v="8"/>
    <x v="4"/>
    <x v="1"/>
    <x v="0"/>
    <n v="50"/>
    <n v="6.3"/>
    <n v="877"/>
    <n v="2.7"/>
    <x v="1"/>
    <x v="2"/>
    <n v="11154"/>
    <n v="33930"/>
    <n v="94"/>
    <x v="114"/>
    <x v="2"/>
    <x v="1"/>
  </r>
  <r>
    <n v="709"/>
    <x v="7"/>
    <x v="2"/>
    <x v="3"/>
    <x v="4"/>
    <n v="31"/>
    <n v="10.8"/>
    <n v="1891"/>
    <n v="3.1"/>
    <x v="3"/>
    <x v="2"/>
    <n v="9963"/>
    <n v="48286"/>
    <n v="87"/>
    <x v="64"/>
    <x v="0"/>
    <x v="2"/>
  </r>
  <r>
    <n v="710"/>
    <x v="7"/>
    <x v="0"/>
    <x v="1"/>
    <x v="3"/>
    <n v="33"/>
    <n v="5.3"/>
    <n v="1453"/>
    <n v="1.8"/>
    <x v="3"/>
    <x v="2"/>
    <n v="12897"/>
    <n v="71622"/>
    <n v="64"/>
    <x v="300"/>
    <x v="1"/>
    <x v="2"/>
  </r>
  <r>
    <n v="711"/>
    <x v="5"/>
    <x v="0"/>
    <x v="1"/>
    <x v="3"/>
    <n v="83"/>
    <n v="8.1999999999999993"/>
    <n v="919"/>
    <n v="4.7"/>
    <x v="5"/>
    <x v="4"/>
    <n v="9549"/>
    <n v="104659"/>
    <n v="100"/>
    <x v="214"/>
    <x v="0"/>
    <x v="2"/>
  </r>
  <r>
    <n v="712"/>
    <x v="6"/>
    <x v="2"/>
    <x v="2"/>
    <x v="3"/>
    <n v="17"/>
    <n v="8.1"/>
    <n v="2235"/>
    <n v="1.7"/>
    <x v="6"/>
    <x v="1"/>
    <n v="2689"/>
    <n v="27499"/>
    <n v="52"/>
    <x v="38"/>
    <x v="1"/>
    <x v="1"/>
  </r>
  <r>
    <n v="713"/>
    <x v="7"/>
    <x v="1"/>
    <x v="5"/>
    <x v="0"/>
    <n v="19"/>
    <n v="9.8000000000000007"/>
    <n v="1557"/>
    <n v="2.1"/>
    <x v="6"/>
    <x v="4"/>
    <n v="8485"/>
    <n v="88106"/>
    <n v="68"/>
    <x v="155"/>
    <x v="0"/>
    <x v="1"/>
  </r>
  <r>
    <n v="714"/>
    <x v="7"/>
    <x v="1"/>
    <x v="5"/>
    <x v="4"/>
    <n v="48"/>
    <n v="9.9"/>
    <n v="1886"/>
    <n v="4.2"/>
    <x v="0"/>
    <x v="3"/>
    <n v="13923"/>
    <n v="55416"/>
    <n v="83"/>
    <x v="179"/>
    <x v="1"/>
    <x v="2"/>
  </r>
  <r>
    <n v="715"/>
    <x v="8"/>
    <x v="2"/>
    <x v="4"/>
    <x v="2"/>
    <n v="74"/>
    <n v="8.8000000000000007"/>
    <n v="2184"/>
    <n v="4.5999999999999996"/>
    <x v="4"/>
    <x v="4"/>
    <n v="13555"/>
    <n v="110964"/>
    <n v="55"/>
    <x v="238"/>
    <x v="2"/>
    <x v="1"/>
  </r>
  <r>
    <n v="716"/>
    <x v="8"/>
    <x v="2"/>
    <x v="5"/>
    <x v="2"/>
    <n v="65"/>
    <n v="5.4"/>
    <n v="1740"/>
    <n v="4.0999999999999996"/>
    <x v="4"/>
    <x v="3"/>
    <n v="11091"/>
    <n v="68951"/>
    <n v="60"/>
    <x v="142"/>
    <x v="0"/>
    <x v="0"/>
  </r>
  <r>
    <n v="717"/>
    <x v="7"/>
    <x v="3"/>
    <x v="1"/>
    <x v="4"/>
    <n v="81"/>
    <n v="8.3000000000000007"/>
    <n v="1180"/>
    <n v="2.9"/>
    <x v="7"/>
    <x v="2"/>
    <n v="13617"/>
    <n v="109197"/>
    <n v="80"/>
    <x v="81"/>
    <x v="3"/>
    <x v="1"/>
  </r>
  <r>
    <n v="718"/>
    <x v="5"/>
    <x v="1"/>
    <x v="2"/>
    <x v="4"/>
    <n v="45"/>
    <n v="7.9"/>
    <n v="2199"/>
    <n v="3.5"/>
    <x v="4"/>
    <x v="0"/>
    <n v="6184"/>
    <n v="57116"/>
    <n v="65"/>
    <x v="82"/>
    <x v="2"/>
    <x v="2"/>
  </r>
  <r>
    <n v="719"/>
    <x v="9"/>
    <x v="4"/>
    <x v="2"/>
    <x v="1"/>
    <n v="10"/>
    <n v="10.9"/>
    <n v="2032"/>
    <n v="2.4"/>
    <x v="2"/>
    <x v="3"/>
    <n v="9486"/>
    <n v="49741"/>
    <n v="71"/>
    <x v="271"/>
    <x v="3"/>
    <x v="1"/>
  </r>
  <r>
    <n v="720"/>
    <x v="5"/>
    <x v="1"/>
    <x v="1"/>
    <x v="2"/>
    <n v="11"/>
    <n v="5"/>
    <n v="2801"/>
    <n v="3"/>
    <x v="4"/>
    <x v="1"/>
    <n v="12322"/>
    <n v="85095"/>
    <n v="65"/>
    <x v="55"/>
    <x v="3"/>
    <x v="1"/>
  </r>
  <r>
    <n v="721"/>
    <x v="8"/>
    <x v="3"/>
    <x v="0"/>
    <x v="1"/>
    <n v="31"/>
    <n v="9.6"/>
    <n v="2838"/>
    <n v="2.8"/>
    <x v="0"/>
    <x v="1"/>
    <n v="3374"/>
    <n v="82813"/>
    <n v="64"/>
    <x v="257"/>
    <x v="1"/>
    <x v="0"/>
  </r>
  <r>
    <n v="722"/>
    <x v="6"/>
    <x v="2"/>
    <x v="3"/>
    <x v="4"/>
    <n v="37"/>
    <n v="3.1"/>
    <n v="1553"/>
    <n v="1.9"/>
    <x v="1"/>
    <x v="3"/>
    <n v="11468"/>
    <n v="63344"/>
    <n v="62"/>
    <x v="46"/>
    <x v="3"/>
    <x v="2"/>
  </r>
  <r>
    <n v="723"/>
    <x v="6"/>
    <x v="1"/>
    <x v="5"/>
    <x v="2"/>
    <n v="29"/>
    <n v="5.4"/>
    <n v="1126"/>
    <n v="3.7"/>
    <x v="3"/>
    <x v="0"/>
    <n v="3983"/>
    <n v="114950"/>
    <n v="91"/>
    <x v="114"/>
    <x v="3"/>
    <x v="0"/>
  </r>
  <r>
    <n v="724"/>
    <x v="9"/>
    <x v="4"/>
    <x v="4"/>
    <x v="3"/>
    <n v="15"/>
    <n v="7.6"/>
    <n v="1500"/>
    <n v="3.8"/>
    <x v="1"/>
    <x v="4"/>
    <n v="9504"/>
    <n v="79809"/>
    <n v="67"/>
    <x v="14"/>
    <x v="0"/>
    <x v="0"/>
  </r>
  <r>
    <n v="725"/>
    <x v="6"/>
    <x v="4"/>
    <x v="4"/>
    <x v="0"/>
    <n v="10"/>
    <n v="8"/>
    <n v="2110"/>
    <n v="3.8"/>
    <x v="4"/>
    <x v="1"/>
    <n v="6783"/>
    <n v="35469"/>
    <n v="71"/>
    <x v="26"/>
    <x v="2"/>
    <x v="0"/>
  </r>
  <r>
    <n v="726"/>
    <x v="5"/>
    <x v="2"/>
    <x v="3"/>
    <x v="0"/>
    <n v="90"/>
    <n v="10.7"/>
    <n v="901"/>
    <n v="3.9"/>
    <x v="5"/>
    <x v="0"/>
    <n v="7263"/>
    <n v="44586"/>
    <n v="83"/>
    <x v="301"/>
    <x v="2"/>
    <x v="1"/>
  </r>
  <r>
    <n v="727"/>
    <x v="5"/>
    <x v="0"/>
    <x v="2"/>
    <x v="2"/>
    <n v="34"/>
    <n v="4.4000000000000004"/>
    <n v="1857"/>
    <n v="2.9"/>
    <x v="5"/>
    <x v="2"/>
    <n v="12323"/>
    <n v="105746"/>
    <n v="50"/>
    <x v="13"/>
    <x v="3"/>
    <x v="2"/>
  </r>
  <r>
    <n v="728"/>
    <x v="7"/>
    <x v="3"/>
    <x v="5"/>
    <x v="2"/>
    <n v="66"/>
    <n v="10.9"/>
    <n v="2362"/>
    <n v="4.2"/>
    <x v="1"/>
    <x v="2"/>
    <n v="4550"/>
    <n v="84270"/>
    <n v="75"/>
    <x v="250"/>
    <x v="3"/>
    <x v="2"/>
  </r>
  <r>
    <n v="729"/>
    <x v="5"/>
    <x v="2"/>
    <x v="2"/>
    <x v="0"/>
    <n v="44"/>
    <n v="7.8"/>
    <n v="2207"/>
    <n v="4.0999999999999996"/>
    <x v="1"/>
    <x v="0"/>
    <n v="10749"/>
    <n v="60693"/>
    <n v="91"/>
    <x v="156"/>
    <x v="1"/>
    <x v="1"/>
  </r>
  <r>
    <n v="730"/>
    <x v="6"/>
    <x v="3"/>
    <x v="0"/>
    <x v="0"/>
    <n v="37"/>
    <n v="11.2"/>
    <n v="2002"/>
    <n v="4"/>
    <x v="4"/>
    <x v="3"/>
    <n v="5003"/>
    <n v="47375"/>
    <n v="99"/>
    <x v="207"/>
    <x v="0"/>
    <x v="0"/>
  </r>
  <r>
    <n v="731"/>
    <x v="9"/>
    <x v="0"/>
    <x v="0"/>
    <x v="4"/>
    <n v="13"/>
    <n v="3.5"/>
    <n v="1702"/>
    <n v="2.6"/>
    <x v="6"/>
    <x v="3"/>
    <n v="6778"/>
    <n v="108850"/>
    <n v="57"/>
    <x v="178"/>
    <x v="1"/>
    <x v="2"/>
  </r>
  <r>
    <n v="732"/>
    <x v="8"/>
    <x v="1"/>
    <x v="4"/>
    <x v="3"/>
    <n v="65"/>
    <n v="7.5"/>
    <n v="1975"/>
    <n v="1.9"/>
    <x v="1"/>
    <x v="3"/>
    <n v="8700"/>
    <n v="37218"/>
    <n v="54"/>
    <x v="302"/>
    <x v="2"/>
    <x v="2"/>
  </r>
  <r>
    <n v="733"/>
    <x v="7"/>
    <x v="1"/>
    <x v="3"/>
    <x v="2"/>
    <n v="14"/>
    <n v="8.9"/>
    <n v="2538"/>
    <n v="4.9000000000000004"/>
    <x v="1"/>
    <x v="4"/>
    <n v="12530"/>
    <n v="44037"/>
    <n v="88"/>
    <x v="134"/>
    <x v="3"/>
    <x v="0"/>
  </r>
  <r>
    <n v="734"/>
    <x v="5"/>
    <x v="4"/>
    <x v="2"/>
    <x v="0"/>
    <n v="41"/>
    <n v="10.4"/>
    <n v="1882"/>
    <n v="1.9"/>
    <x v="2"/>
    <x v="1"/>
    <n v="6207"/>
    <n v="72028"/>
    <n v="70"/>
    <x v="220"/>
    <x v="0"/>
    <x v="0"/>
  </r>
  <r>
    <n v="735"/>
    <x v="9"/>
    <x v="0"/>
    <x v="3"/>
    <x v="1"/>
    <n v="22"/>
    <n v="6.6"/>
    <n v="2267"/>
    <n v="3.7"/>
    <x v="5"/>
    <x v="1"/>
    <n v="6058"/>
    <n v="43594"/>
    <n v="58"/>
    <x v="143"/>
    <x v="0"/>
    <x v="1"/>
  </r>
  <r>
    <n v="736"/>
    <x v="5"/>
    <x v="2"/>
    <x v="3"/>
    <x v="3"/>
    <n v="52"/>
    <n v="4.0999999999999996"/>
    <n v="2288"/>
    <n v="2.6"/>
    <x v="1"/>
    <x v="4"/>
    <n v="7786"/>
    <n v="30618"/>
    <n v="65"/>
    <x v="36"/>
    <x v="1"/>
    <x v="1"/>
  </r>
  <r>
    <n v="737"/>
    <x v="5"/>
    <x v="1"/>
    <x v="4"/>
    <x v="3"/>
    <n v="61"/>
    <n v="11.7"/>
    <n v="1410"/>
    <n v="2.4"/>
    <x v="6"/>
    <x v="3"/>
    <n v="13907"/>
    <n v="63578"/>
    <n v="60"/>
    <x v="47"/>
    <x v="3"/>
    <x v="0"/>
  </r>
  <r>
    <n v="738"/>
    <x v="5"/>
    <x v="3"/>
    <x v="2"/>
    <x v="1"/>
    <n v="30"/>
    <n v="3.2"/>
    <n v="1229"/>
    <n v="2"/>
    <x v="3"/>
    <x v="1"/>
    <n v="1776"/>
    <n v="22599"/>
    <n v="71"/>
    <x v="43"/>
    <x v="2"/>
    <x v="0"/>
  </r>
  <r>
    <n v="739"/>
    <x v="5"/>
    <x v="1"/>
    <x v="5"/>
    <x v="3"/>
    <n v="21"/>
    <n v="11.8"/>
    <n v="1152"/>
    <n v="2.9"/>
    <x v="3"/>
    <x v="0"/>
    <n v="3783"/>
    <n v="93216"/>
    <n v="96"/>
    <x v="95"/>
    <x v="0"/>
    <x v="1"/>
  </r>
  <r>
    <n v="740"/>
    <x v="7"/>
    <x v="0"/>
    <x v="4"/>
    <x v="1"/>
    <n v="45"/>
    <n v="8.1999999999999993"/>
    <n v="2448"/>
    <n v="2.2000000000000002"/>
    <x v="7"/>
    <x v="3"/>
    <n v="1558"/>
    <n v="30930"/>
    <n v="83"/>
    <x v="86"/>
    <x v="2"/>
    <x v="0"/>
  </r>
  <r>
    <n v="741"/>
    <x v="9"/>
    <x v="2"/>
    <x v="2"/>
    <x v="1"/>
    <n v="78"/>
    <n v="10.199999999999999"/>
    <n v="2651"/>
    <n v="4.3"/>
    <x v="7"/>
    <x v="2"/>
    <n v="14205"/>
    <n v="25580"/>
    <n v="53"/>
    <x v="182"/>
    <x v="1"/>
    <x v="1"/>
  </r>
  <r>
    <n v="742"/>
    <x v="5"/>
    <x v="0"/>
    <x v="0"/>
    <x v="2"/>
    <n v="26"/>
    <n v="5.8"/>
    <n v="2662"/>
    <n v="3.3"/>
    <x v="7"/>
    <x v="2"/>
    <n v="11757"/>
    <n v="32723"/>
    <n v="70"/>
    <x v="281"/>
    <x v="0"/>
    <x v="2"/>
  </r>
  <r>
    <n v="743"/>
    <x v="7"/>
    <x v="3"/>
    <x v="4"/>
    <x v="0"/>
    <n v="32"/>
    <n v="7.8"/>
    <n v="1342"/>
    <n v="2.4"/>
    <x v="0"/>
    <x v="3"/>
    <n v="8933"/>
    <n v="78423"/>
    <n v="68"/>
    <x v="129"/>
    <x v="2"/>
    <x v="1"/>
  </r>
  <r>
    <n v="744"/>
    <x v="9"/>
    <x v="4"/>
    <x v="3"/>
    <x v="1"/>
    <n v="43"/>
    <n v="9.3000000000000007"/>
    <n v="1460"/>
    <n v="4.5"/>
    <x v="7"/>
    <x v="4"/>
    <n v="6257"/>
    <n v="30508"/>
    <n v="85"/>
    <x v="225"/>
    <x v="3"/>
    <x v="2"/>
  </r>
  <r>
    <n v="745"/>
    <x v="8"/>
    <x v="1"/>
    <x v="2"/>
    <x v="3"/>
    <n v="76"/>
    <n v="3.2"/>
    <n v="1579"/>
    <n v="2.5"/>
    <x v="4"/>
    <x v="2"/>
    <n v="1520"/>
    <n v="28290"/>
    <n v="69"/>
    <x v="235"/>
    <x v="1"/>
    <x v="1"/>
  </r>
  <r>
    <n v="746"/>
    <x v="5"/>
    <x v="1"/>
    <x v="2"/>
    <x v="4"/>
    <n v="30"/>
    <n v="5.4"/>
    <n v="2824"/>
    <n v="3.6"/>
    <x v="7"/>
    <x v="1"/>
    <n v="3659"/>
    <n v="78426"/>
    <n v="83"/>
    <x v="228"/>
    <x v="1"/>
    <x v="2"/>
  </r>
  <r>
    <n v="747"/>
    <x v="8"/>
    <x v="1"/>
    <x v="4"/>
    <x v="2"/>
    <n v="83"/>
    <n v="4.8"/>
    <n v="2473"/>
    <n v="3.9"/>
    <x v="2"/>
    <x v="0"/>
    <n v="9518"/>
    <n v="103226"/>
    <n v="63"/>
    <x v="154"/>
    <x v="3"/>
    <x v="2"/>
  </r>
  <r>
    <n v="748"/>
    <x v="6"/>
    <x v="1"/>
    <x v="1"/>
    <x v="4"/>
    <n v="44"/>
    <n v="4.3"/>
    <n v="2718"/>
    <n v="3.6"/>
    <x v="4"/>
    <x v="0"/>
    <n v="14974"/>
    <n v="29699"/>
    <n v="97"/>
    <x v="163"/>
    <x v="0"/>
    <x v="1"/>
  </r>
  <r>
    <n v="749"/>
    <x v="5"/>
    <x v="2"/>
    <x v="1"/>
    <x v="1"/>
    <n v="55"/>
    <n v="9.1999999999999993"/>
    <n v="1367"/>
    <n v="3.5"/>
    <x v="4"/>
    <x v="4"/>
    <n v="9657"/>
    <n v="93799"/>
    <n v="100"/>
    <x v="171"/>
    <x v="1"/>
    <x v="0"/>
  </r>
  <r>
    <n v="750"/>
    <x v="9"/>
    <x v="2"/>
    <x v="0"/>
    <x v="0"/>
    <n v="28"/>
    <n v="6.5"/>
    <n v="1237"/>
    <n v="2"/>
    <x v="7"/>
    <x v="4"/>
    <n v="10773"/>
    <n v="94754"/>
    <n v="75"/>
    <x v="265"/>
    <x v="2"/>
    <x v="1"/>
  </r>
  <r>
    <n v="751"/>
    <x v="5"/>
    <x v="3"/>
    <x v="2"/>
    <x v="1"/>
    <n v="16"/>
    <n v="10"/>
    <n v="2084"/>
    <n v="4"/>
    <x v="0"/>
    <x v="3"/>
    <n v="8536"/>
    <n v="32153"/>
    <n v="63"/>
    <x v="189"/>
    <x v="3"/>
    <x v="1"/>
  </r>
  <r>
    <n v="752"/>
    <x v="8"/>
    <x v="2"/>
    <x v="1"/>
    <x v="4"/>
    <n v="70"/>
    <n v="3"/>
    <n v="2668"/>
    <n v="2.6"/>
    <x v="7"/>
    <x v="0"/>
    <n v="6781"/>
    <n v="72599"/>
    <n v="68"/>
    <x v="141"/>
    <x v="2"/>
    <x v="0"/>
  </r>
  <r>
    <n v="753"/>
    <x v="8"/>
    <x v="1"/>
    <x v="4"/>
    <x v="4"/>
    <n v="34"/>
    <n v="10.7"/>
    <n v="1150"/>
    <n v="4.9000000000000004"/>
    <x v="3"/>
    <x v="4"/>
    <n v="6317"/>
    <n v="108029"/>
    <n v="82"/>
    <x v="108"/>
    <x v="3"/>
    <x v="1"/>
  </r>
  <r>
    <n v="754"/>
    <x v="9"/>
    <x v="4"/>
    <x v="5"/>
    <x v="4"/>
    <n v="62"/>
    <n v="5.6"/>
    <n v="1636"/>
    <n v="4.0999999999999996"/>
    <x v="3"/>
    <x v="0"/>
    <n v="9555"/>
    <n v="59676"/>
    <n v="60"/>
    <x v="6"/>
    <x v="0"/>
    <x v="1"/>
  </r>
  <r>
    <n v="755"/>
    <x v="8"/>
    <x v="1"/>
    <x v="5"/>
    <x v="4"/>
    <n v="21"/>
    <n v="9.1999999999999993"/>
    <n v="1088"/>
    <n v="2.9"/>
    <x v="5"/>
    <x v="0"/>
    <n v="11610"/>
    <n v="68261"/>
    <n v="74"/>
    <x v="213"/>
    <x v="1"/>
    <x v="2"/>
  </r>
  <r>
    <n v="756"/>
    <x v="8"/>
    <x v="4"/>
    <x v="1"/>
    <x v="3"/>
    <n v="67"/>
    <n v="3.9"/>
    <n v="1207"/>
    <n v="3.1"/>
    <x v="3"/>
    <x v="1"/>
    <n v="2747"/>
    <n v="29994"/>
    <n v="61"/>
    <x v="303"/>
    <x v="1"/>
    <x v="1"/>
  </r>
  <r>
    <n v="757"/>
    <x v="5"/>
    <x v="2"/>
    <x v="5"/>
    <x v="0"/>
    <n v="89"/>
    <n v="7.6"/>
    <n v="1641"/>
    <n v="5"/>
    <x v="2"/>
    <x v="1"/>
    <n v="7582"/>
    <n v="87312"/>
    <n v="82"/>
    <x v="148"/>
    <x v="2"/>
    <x v="2"/>
  </r>
  <r>
    <n v="758"/>
    <x v="6"/>
    <x v="1"/>
    <x v="1"/>
    <x v="0"/>
    <n v="53"/>
    <n v="8.3000000000000007"/>
    <n v="1114"/>
    <n v="3.1"/>
    <x v="4"/>
    <x v="3"/>
    <n v="9262"/>
    <n v="55562"/>
    <n v="53"/>
    <x v="55"/>
    <x v="2"/>
    <x v="0"/>
  </r>
  <r>
    <n v="759"/>
    <x v="6"/>
    <x v="0"/>
    <x v="3"/>
    <x v="2"/>
    <n v="12"/>
    <n v="5.4"/>
    <n v="2556"/>
    <n v="4.3"/>
    <x v="4"/>
    <x v="1"/>
    <n v="14389"/>
    <n v="81008"/>
    <n v="55"/>
    <x v="113"/>
    <x v="3"/>
    <x v="0"/>
  </r>
  <r>
    <n v="760"/>
    <x v="6"/>
    <x v="2"/>
    <x v="5"/>
    <x v="2"/>
    <n v="18"/>
    <n v="4.7"/>
    <n v="2984"/>
    <n v="3.3"/>
    <x v="5"/>
    <x v="3"/>
    <n v="3270"/>
    <n v="94122"/>
    <n v="78"/>
    <x v="68"/>
    <x v="1"/>
    <x v="1"/>
  </r>
  <r>
    <n v="761"/>
    <x v="7"/>
    <x v="0"/>
    <x v="1"/>
    <x v="3"/>
    <n v="11"/>
    <n v="7.5"/>
    <n v="976"/>
    <n v="3.7"/>
    <x v="7"/>
    <x v="4"/>
    <n v="12648"/>
    <n v="119806"/>
    <n v="100"/>
    <x v="88"/>
    <x v="3"/>
    <x v="1"/>
  </r>
  <r>
    <n v="762"/>
    <x v="6"/>
    <x v="2"/>
    <x v="0"/>
    <x v="3"/>
    <n v="90"/>
    <n v="10.6"/>
    <n v="1256"/>
    <n v="1.8"/>
    <x v="1"/>
    <x v="1"/>
    <n v="2622"/>
    <n v="33483"/>
    <n v="98"/>
    <x v="6"/>
    <x v="1"/>
    <x v="0"/>
  </r>
  <r>
    <n v="763"/>
    <x v="5"/>
    <x v="3"/>
    <x v="1"/>
    <x v="1"/>
    <n v="63"/>
    <n v="12"/>
    <n v="1264"/>
    <n v="3.9"/>
    <x v="6"/>
    <x v="2"/>
    <n v="14426"/>
    <n v="78968"/>
    <n v="89"/>
    <x v="300"/>
    <x v="3"/>
    <x v="1"/>
  </r>
  <r>
    <n v="764"/>
    <x v="5"/>
    <x v="1"/>
    <x v="2"/>
    <x v="2"/>
    <n v="52"/>
    <n v="7.4"/>
    <n v="2846"/>
    <n v="4.2"/>
    <x v="7"/>
    <x v="1"/>
    <n v="2471"/>
    <n v="80239"/>
    <n v="51"/>
    <x v="82"/>
    <x v="3"/>
    <x v="1"/>
  </r>
  <r>
    <n v="765"/>
    <x v="8"/>
    <x v="1"/>
    <x v="5"/>
    <x v="3"/>
    <n v="62"/>
    <n v="5.4"/>
    <n v="1488"/>
    <n v="3.5"/>
    <x v="0"/>
    <x v="0"/>
    <n v="13698"/>
    <n v="33686"/>
    <n v="66"/>
    <x v="177"/>
    <x v="3"/>
    <x v="2"/>
  </r>
  <r>
    <n v="766"/>
    <x v="7"/>
    <x v="0"/>
    <x v="4"/>
    <x v="1"/>
    <n v="81"/>
    <n v="8"/>
    <n v="1221"/>
    <n v="2.1"/>
    <x v="6"/>
    <x v="2"/>
    <n v="4467"/>
    <n v="90807"/>
    <n v="71"/>
    <x v="214"/>
    <x v="1"/>
    <x v="1"/>
  </r>
  <r>
    <n v="767"/>
    <x v="7"/>
    <x v="2"/>
    <x v="0"/>
    <x v="0"/>
    <n v="82"/>
    <n v="7.5"/>
    <n v="2631"/>
    <n v="3.3"/>
    <x v="5"/>
    <x v="0"/>
    <n v="7575"/>
    <n v="44355"/>
    <n v="61"/>
    <x v="62"/>
    <x v="0"/>
    <x v="0"/>
  </r>
  <r>
    <n v="768"/>
    <x v="5"/>
    <x v="1"/>
    <x v="1"/>
    <x v="4"/>
    <n v="26"/>
    <n v="5.5"/>
    <n v="2300"/>
    <n v="4.7"/>
    <x v="0"/>
    <x v="3"/>
    <n v="14195"/>
    <n v="74124"/>
    <n v="53"/>
    <x v="246"/>
    <x v="2"/>
    <x v="2"/>
  </r>
  <r>
    <n v="769"/>
    <x v="9"/>
    <x v="1"/>
    <x v="5"/>
    <x v="2"/>
    <n v="35"/>
    <n v="6.8"/>
    <n v="1503"/>
    <n v="3.8"/>
    <x v="3"/>
    <x v="0"/>
    <n v="5158"/>
    <n v="73413"/>
    <n v="96"/>
    <x v="220"/>
    <x v="2"/>
    <x v="0"/>
  </r>
  <r>
    <n v="770"/>
    <x v="6"/>
    <x v="1"/>
    <x v="1"/>
    <x v="3"/>
    <n v="66"/>
    <n v="8.8000000000000007"/>
    <n v="1691"/>
    <n v="2.9"/>
    <x v="2"/>
    <x v="4"/>
    <n v="8245"/>
    <n v="95516"/>
    <n v="98"/>
    <x v="272"/>
    <x v="2"/>
    <x v="0"/>
  </r>
  <r>
    <n v="771"/>
    <x v="8"/>
    <x v="3"/>
    <x v="1"/>
    <x v="4"/>
    <n v="77"/>
    <n v="8.3000000000000007"/>
    <n v="2542"/>
    <n v="3.3"/>
    <x v="0"/>
    <x v="0"/>
    <n v="14493"/>
    <n v="107087"/>
    <n v="63"/>
    <x v="119"/>
    <x v="3"/>
    <x v="1"/>
  </r>
  <r>
    <n v="772"/>
    <x v="6"/>
    <x v="0"/>
    <x v="2"/>
    <x v="2"/>
    <n v="30"/>
    <n v="11.5"/>
    <n v="2808"/>
    <n v="4.4000000000000004"/>
    <x v="1"/>
    <x v="1"/>
    <n v="9552"/>
    <n v="115122"/>
    <n v="64"/>
    <x v="278"/>
    <x v="3"/>
    <x v="1"/>
  </r>
  <r>
    <n v="773"/>
    <x v="9"/>
    <x v="4"/>
    <x v="1"/>
    <x v="3"/>
    <n v="13"/>
    <n v="5.0999999999999996"/>
    <n v="2614"/>
    <n v="3.1"/>
    <x v="5"/>
    <x v="3"/>
    <n v="10533"/>
    <n v="116946"/>
    <n v="58"/>
    <x v="114"/>
    <x v="3"/>
    <x v="2"/>
  </r>
  <r>
    <n v="774"/>
    <x v="5"/>
    <x v="1"/>
    <x v="1"/>
    <x v="0"/>
    <n v="43"/>
    <n v="4.7"/>
    <n v="2259"/>
    <n v="3.2"/>
    <x v="6"/>
    <x v="4"/>
    <n v="6207"/>
    <n v="78795"/>
    <n v="78"/>
    <x v="138"/>
    <x v="2"/>
    <x v="2"/>
  </r>
  <r>
    <n v="775"/>
    <x v="5"/>
    <x v="2"/>
    <x v="1"/>
    <x v="0"/>
    <n v="33"/>
    <n v="11.5"/>
    <n v="882"/>
    <n v="3.4"/>
    <x v="7"/>
    <x v="4"/>
    <n v="8810"/>
    <n v="46268"/>
    <n v="67"/>
    <x v="94"/>
    <x v="1"/>
    <x v="2"/>
  </r>
  <r>
    <n v="776"/>
    <x v="6"/>
    <x v="3"/>
    <x v="2"/>
    <x v="3"/>
    <n v="48"/>
    <n v="10.8"/>
    <n v="2076"/>
    <n v="3.1"/>
    <x v="3"/>
    <x v="2"/>
    <n v="11796"/>
    <n v="117950"/>
    <n v="53"/>
    <x v="81"/>
    <x v="1"/>
    <x v="2"/>
  </r>
  <r>
    <n v="777"/>
    <x v="8"/>
    <x v="4"/>
    <x v="3"/>
    <x v="3"/>
    <n v="23"/>
    <n v="11.3"/>
    <n v="2497"/>
    <n v="2"/>
    <x v="2"/>
    <x v="3"/>
    <n v="1054"/>
    <n v="77429"/>
    <n v="87"/>
    <x v="165"/>
    <x v="2"/>
    <x v="1"/>
  </r>
  <r>
    <n v="778"/>
    <x v="6"/>
    <x v="4"/>
    <x v="2"/>
    <x v="4"/>
    <n v="55"/>
    <n v="8.8000000000000007"/>
    <n v="1232"/>
    <n v="3.3"/>
    <x v="7"/>
    <x v="3"/>
    <n v="11615"/>
    <n v="81725"/>
    <n v="65"/>
    <x v="165"/>
    <x v="1"/>
    <x v="1"/>
  </r>
  <r>
    <n v="779"/>
    <x v="9"/>
    <x v="0"/>
    <x v="3"/>
    <x v="3"/>
    <n v="75"/>
    <n v="4.5999999999999996"/>
    <n v="1700"/>
    <n v="4.9000000000000004"/>
    <x v="7"/>
    <x v="0"/>
    <n v="4216"/>
    <n v="111039"/>
    <n v="94"/>
    <x v="151"/>
    <x v="2"/>
    <x v="2"/>
  </r>
  <r>
    <n v="780"/>
    <x v="5"/>
    <x v="2"/>
    <x v="1"/>
    <x v="0"/>
    <n v="36"/>
    <n v="6.8"/>
    <n v="1727"/>
    <n v="4.8"/>
    <x v="6"/>
    <x v="2"/>
    <n v="2086"/>
    <n v="113394"/>
    <n v="54"/>
    <x v="100"/>
    <x v="2"/>
    <x v="1"/>
  </r>
  <r>
    <n v="781"/>
    <x v="7"/>
    <x v="2"/>
    <x v="1"/>
    <x v="0"/>
    <n v="59"/>
    <n v="11.5"/>
    <n v="1130"/>
    <n v="4.0999999999999996"/>
    <x v="5"/>
    <x v="0"/>
    <n v="4270"/>
    <n v="114986"/>
    <n v="95"/>
    <x v="1"/>
    <x v="2"/>
    <x v="1"/>
  </r>
  <r>
    <n v="782"/>
    <x v="9"/>
    <x v="2"/>
    <x v="5"/>
    <x v="2"/>
    <n v="57"/>
    <n v="11.1"/>
    <n v="2542"/>
    <n v="4.4000000000000004"/>
    <x v="3"/>
    <x v="2"/>
    <n v="10246"/>
    <n v="85966"/>
    <n v="77"/>
    <x v="63"/>
    <x v="3"/>
    <x v="0"/>
  </r>
  <r>
    <n v="783"/>
    <x v="6"/>
    <x v="2"/>
    <x v="1"/>
    <x v="0"/>
    <n v="19"/>
    <n v="6.3"/>
    <n v="2315"/>
    <n v="1.8"/>
    <x v="6"/>
    <x v="1"/>
    <n v="7589"/>
    <n v="52081"/>
    <n v="60"/>
    <x v="178"/>
    <x v="1"/>
    <x v="0"/>
  </r>
  <r>
    <n v="784"/>
    <x v="5"/>
    <x v="3"/>
    <x v="2"/>
    <x v="4"/>
    <n v="60"/>
    <n v="8.5"/>
    <n v="1457"/>
    <n v="3.7"/>
    <x v="6"/>
    <x v="4"/>
    <n v="4808"/>
    <n v="85771"/>
    <n v="90"/>
    <x v="244"/>
    <x v="0"/>
    <x v="0"/>
  </r>
  <r>
    <n v="785"/>
    <x v="7"/>
    <x v="1"/>
    <x v="0"/>
    <x v="1"/>
    <n v="21"/>
    <n v="6.3"/>
    <n v="1315"/>
    <n v="4.4000000000000004"/>
    <x v="6"/>
    <x v="3"/>
    <n v="14197"/>
    <n v="28157"/>
    <n v="79"/>
    <x v="37"/>
    <x v="2"/>
    <x v="2"/>
  </r>
  <r>
    <n v="786"/>
    <x v="6"/>
    <x v="1"/>
    <x v="1"/>
    <x v="4"/>
    <n v="66"/>
    <n v="3"/>
    <n v="2580"/>
    <n v="4.9000000000000004"/>
    <x v="1"/>
    <x v="3"/>
    <n v="5316"/>
    <n v="34106"/>
    <n v="92"/>
    <x v="223"/>
    <x v="3"/>
    <x v="1"/>
  </r>
  <r>
    <n v="787"/>
    <x v="7"/>
    <x v="2"/>
    <x v="5"/>
    <x v="2"/>
    <n v="48"/>
    <n v="8"/>
    <n v="1624"/>
    <n v="1.9"/>
    <x v="1"/>
    <x v="0"/>
    <n v="13028"/>
    <n v="32923"/>
    <n v="89"/>
    <x v="45"/>
    <x v="3"/>
    <x v="1"/>
  </r>
  <r>
    <n v="788"/>
    <x v="7"/>
    <x v="4"/>
    <x v="2"/>
    <x v="0"/>
    <n v="53"/>
    <n v="4.3"/>
    <n v="1049"/>
    <n v="1.7"/>
    <x v="7"/>
    <x v="2"/>
    <n v="5800"/>
    <n v="32356"/>
    <n v="70"/>
    <x v="113"/>
    <x v="1"/>
    <x v="1"/>
  </r>
  <r>
    <n v="789"/>
    <x v="6"/>
    <x v="3"/>
    <x v="5"/>
    <x v="0"/>
    <n v="55"/>
    <n v="6.8"/>
    <n v="2689"/>
    <n v="2.5"/>
    <x v="6"/>
    <x v="4"/>
    <n v="7115"/>
    <n v="43216"/>
    <n v="99"/>
    <x v="282"/>
    <x v="0"/>
    <x v="2"/>
  </r>
  <r>
    <n v="790"/>
    <x v="5"/>
    <x v="3"/>
    <x v="1"/>
    <x v="0"/>
    <n v="17"/>
    <n v="10.7"/>
    <n v="2027"/>
    <n v="4.4000000000000004"/>
    <x v="1"/>
    <x v="1"/>
    <n v="3162"/>
    <n v="78461"/>
    <n v="77"/>
    <x v="95"/>
    <x v="3"/>
    <x v="0"/>
  </r>
  <r>
    <n v="791"/>
    <x v="6"/>
    <x v="4"/>
    <x v="3"/>
    <x v="0"/>
    <n v="65"/>
    <n v="7.1"/>
    <n v="2179"/>
    <n v="4.0999999999999996"/>
    <x v="7"/>
    <x v="4"/>
    <n v="3882"/>
    <n v="115205"/>
    <n v="66"/>
    <x v="55"/>
    <x v="3"/>
    <x v="2"/>
  </r>
  <r>
    <n v="792"/>
    <x v="5"/>
    <x v="0"/>
    <x v="0"/>
    <x v="0"/>
    <n v="71"/>
    <n v="5.9"/>
    <n v="1754"/>
    <n v="4.2"/>
    <x v="4"/>
    <x v="1"/>
    <n v="11907"/>
    <n v="119058"/>
    <n v="50"/>
    <x v="259"/>
    <x v="0"/>
    <x v="1"/>
  </r>
  <r>
    <n v="793"/>
    <x v="8"/>
    <x v="4"/>
    <x v="4"/>
    <x v="2"/>
    <n v="73"/>
    <n v="5.2"/>
    <n v="1323"/>
    <n v="2.7"/>
    <x v="4"/>
    <x v="2"/>
    <n v="6349"/>
    <n v="74473"/>
    <n v="74"/>
    <x v="304"/>
    <x v="0"/>
    <x v="1"/>
  </r>
  <r>
    <n v="794"/>
    <x v="5"/>
    <x v="2"/>
    <x v="3"/>
    <x v="3"/>
    <n v="27"/>
    <n v="8.8000000000000007"/>
    <n v="1488"/>
    <n v="3.4"/>
    <x v="1"/>
    <x v="0"/>
    <n v="14812"/>
    <n v="33897"/>
    <n v="95"/>
    <x v="271"/>
    <x v="1"/>
    <x v="1"/>
  </r>
  <r>
    <n v="795"/>
    <x v="6"/>
    <x v="3"/>
    <x v="4"/>
    <x v="3"/>
    <n v="84"/>
    <n v="8.3000000000000007"/>
    <n v="1915"/>
    <n v="2.5"/>
    <x v="7"/>
    <x v="4"/>
    <n v="4901"/>
    <n v="24424"/>
    <n v="98"/>
    <x v="2"/>
    <x v="2"/>
    <x v="2"/>
  </r>
  <r>
    <n v="796"/>
    <x v="7"/>
    <x v="2"/>
    <x v="4"/>
    <x v="4"/>
    <n v="55"/>
    <n v="3.8"/>
    <n v="1408"/>
    <n v="4.7"/>
    <x v="7"/>
    <x v="3"/>
    <n v="5442"/>
    <n v="70479"/>
    <n v="94"/>
    <x v="15"/>
    <x v="3"/>
    <x v="1"/>
  </r>
  <r>
    <n v="797"/>
    <x v="8"/>
    <x v="1"/>
    <x v="3"/>
    <x v="0"/>
    <n v="74"/>
    <n v="10.7"/>
    <n v="2898"/>
    <n v="4.5999999999999996"/>
    <x v="5"/>
    <x v="0"/>
    <n v="5642"/>
    <n v="48925"/>
    <n v="86"/>
    <x v="279"/>
    <x v="1"/>
    <x v="0"/>
  </r>
  <r>
    <n v="798"/>
    <x v="5"/>
    <x v="0"/>
    <x v="3"/>
    <x v="1"/>
    <n v="25"/>
    <n v="7.1"/>
    <n v="1677"/>
    <n v="1.9"/>
    <x v="5"/>
    <x v="3"/>
    <n v="14400"/>
    <n v="119630"/>
    <n v="85"/>
    <x v="136"/>
    <x v="1"/>
    <x v="1"/>
  </r>
  <r>
    <n v="799"/>
    <x v="7"/>
    <x v="4"/>
    <x v="0"/>
    <x v="4"/>
    <n v="75"/>
    <n v="5.2"/>
    <n v="2060"/>
    <n v="3.3"/>
    <x v="5"/>
    <x v="0"/>
    <n v="5871"/>
    <n v="91658"/>
    <n v="88"/>
    <x v="117"/>
    <x v="1"/>
    <x v="0"/>
  </r>
  <r>
    <n v="800"/>
    <x v="8"/>
    <x v="2"/>
    <x v="1"/>
    <x v="0"/>
    <n v="38"/>
    <n v="7.1"/>
    <n v="1921"/>
    <n v="4.4000000000000004"/>
    <x v="2"/>
    <x v="2"/>
    <n v="9845"/>
    <n v="97208"/>
    <n v="77"/>
    <x v="305"/>
    <x v="1"/>
    <x v="2"/>
  </r>
  <r>
    <n v="801"/>
    <x v="8"/>
    <x v="3"/>
    <x v="1"/>
    <x v="3"/>
    <n v="35"/>
    <n v="11.1"/>
    <n v="2180"/>
    <n v="2.8"/>
    <x v="5"/>
    <x v="3"/>
    <n v="4950"/>
    <n v="30508"/>
    <n v="98"/>
    <x v="122"/>
    <x v="0"/>
    <x v="0"/>
  </r>
  <r>
    <n v="802"/>
    <x v="5"/>
    <x v="1"/>
    <x v="4"/>
    <x v="0"/>
    <n v="40"/>
    <n v="11.6"/>
    <n v="2906"/>
    <n v="4.3"/>
    <x v="3"/>
    <x v="2"/>
    <n v="1126"/>
    <n v="103374"/>
    <n v="78"/>
    <x v="295"/>
    <x v="0"/>
    <x v="1"/>
  </r>
  <r>
    <n v="803"/>
    <x v="7"/>
    <x v="2"/>
    <x v="2"/>
    <x v="1"/>
    <n v="89"/>
    <n v="10.5"/>
    <n v="1555"/>
    <n v="1.7"/>
    <x v="0"/>
    <x v="4"/>
    <n v="5209"/>
    <n v="68831"/>
    <n v="51"/>
    <x v="250"/>
    <x v="0"/>
    <x v="2"/>
  </r>
  <r>
    <n v="804"/>
    <x v="7"/>
    <x v="2"/>
    <x v="2"/>
    <x v="2"/>
    <n v="60"/>
    <n v="8.1999999999999993"/>
    <n v="2399"/>
    <n v="3.4"/>
    <x v="0"/>
    <x v="0"/>
    <n v="2960"/>
    <n v="105404"/>
    <n v="53"/>
    <x v="22"/>
    <x v="3"/>
    <x v="2"/>
  </r>
  <r>
    <n v="805"/>
    <x v="7"/>
    <x v="4"/>
    <x v="1"/>
    <x v="4"/>
    <n v="56"/>
    <n v="7.9"/>
    <n v="1249"/>
    <n v="4.8"/>
    <x v="0"/>
    <x v="2"/>
    <n v="10502"/>
    <n v="51328"/>
    <n v="88"/>
    <x v="58"/>
    <x v="0"/>
    <x v="0"/>
  </r>
  <r>
    <n v="806"/>
    <x v="9"/>
    <x v="2"/>
    <x v="0"/>
    <x v="2"/>
    <n v="72"/>
    <n v="5.6"/>
    <n v="1982"/>
    <n v="1.5"/>
    <x v="5"/>
    <x v="4"/>
    <n v="5615"/>
    <n v="109637"/>
    <n v="84"/>
    <x v="188"/>
    <x v="1"/>
    <x v="1"/>
  </r>
  <r>
    <n v="807"/>
    <x v="7"/>
    <x v="0"/>
    <x v="3"/>
    <x v="4"/>
    <n v="77"/>
    <n v="10.5"/>
    <n v="2158"/>
    <n v="3.5"/>
    <x v="4"/>
    <x v="1"/>
    <n v="11672"/>
    <n v="54453"/>
    <n v="97"/>
    <x v="10"/>
    <x v="1"/>
    <x v="1"/>
  </r>
  <r>
    <n v="808"/>
    <x v="5"/>
    <x v="3"/>
    <x v="2"/>
    <x v="2"/>
    <n v="84"/>
    <n v="4.2"/>
    <n v="2949"/>
    <n v="4.5999999999999996"/>
    <x v="6"/>
    <x v="1"/>
    <n v="9114"/>
    <n v="80550"/>
    <n v="87"/>
    <x v="289"/>
    <x v="0"/>
    <x v="2"/>
  </r>
  <r>
    <n v="809"/>
    <x v="9"/>
    <x v="3"/>
    <x v="2"/>
    <x v="4"/>
    <n v="25"/>
    <n v="3.9"/>
    <n v="1006"/>
    <n v="4.8"/>
    <x v="7"/>
    <x v="3"/>
    <n v="11161"/>
    <n v="36819"/>
    <n v="56"/>
    <x v="262"/>
    <x v="0"/>
    <x v="0"/>
  </r>
  <r>
    <n v="810"/>
    <x v="5"/>
    <x v="1"/>
    <x v="4"/>
    <x v="0"/>
    <n v="50"/>
    <n v="9.4"/>
    <n v="2917"/>
    <n v="2.2999999999999998"/>
    <x v="7"/>
    <x v="0"/>
    <n v="7138"/>
    <n v="43662"/>
    <n v="85"/>
    <x v="239"/>
    <x v="1"/>
    <x v="1"/>
  </r>
  <r>
    <n v="811"/>
    <x v="8"/>
    <x v="0"/>
    <x v="5"/>
    <x v="4"/>
    <n v="38"/>
    <n v="6.7"/>
    <n v="1817"/>
    <n v="3.8"/>
    <x v="3"/>
    <x v="1"/>
    <n v="5279"/>
    <n v="37940"/>
    <n v="97"/>
    <x v="84"/>
    <x v="0"/>
    <x v="0"/>
  </r>
  <r>
    <n v="812"/>
    <x v="7"/>
    <x v="3"/>
    <x v="3"/>
    <x v="1"/>
    <n v="47"/>
    <n v="11.1"/>
    <n v="2744"/>
    <n v="2.1"/>
    <x v="6"/>
    <x v="0"/>
    <n v="5697"/>
    <n v="31497"/>
    <n v="65"/>
    <x v="177"/>
    <x v="0"/>
    <x v="0"/>
  </r>
  <r>
    <n v="813"/>
    <x v="9"/>
    <x v="0"/>
    <x v="3"/>
    <x v="4"/>
    <n v="85"/>
    <n v="6.7"/>
    <n v="2474"/>
    <n v="3.7"/>
    <x v="2"/>
    <x v="3"/>
    <n v="12556"/>
    <n v="97507"/>
    <n v="65"/>
    <x v="306"/>
    <x v="1"/>
    <x v="0"/>
  </r>
  <r>
    <n v="814"/>
    <x v="5"/>
    <x v="0"/>
    <x v="4"/>
    <x v="3"/>
    <n v="89"/>
    <n v="4.3"/>
    <n v="1627"/>
    <n v="2.2000000000000002"/>
    <x v="2"/>
    <x v="3"/>
    <n v="9435"/>
    <n v="60890"/>
    <n v="89"/>
    <x v="21"/>
    <x v="0"/>
    <x v="0"/>
  </r>
  <r>
    <n v="815"/>
    <x v="9"/>
    <x v="3"/>
    <x v="5"/>
    <x v="3"/>
    <n v="70"/>
    <n v="11.6"/>
    <n v="2900"/>
    <n v="4.4000000000000004"/>
    <x v="0"/>
    <x v="1"/>
    <n v="2833"/>
    <n v="67420"/>
    <n v="93"/>
    <x v="171"/>
    <x v="0"/>
    <x v="0"/>
  </r>
  <r>
    <n v="816"/>
    <x v="9"/>
    <x v="3"/>
    <x v="4"/>
    <x v="2"/>
    <n v="41"/>
    <n v="8.6999999999999993"/>
    <n v="1337"/>
    <n v="2.7"/>
    <x v="4"/>
    <x v="2"/>
    <n v="14082"/>
    <n v="118626"/>
    <n v="80"/>
    <x v="119"/>
    <x v="1"/>
    <x v="0"/>
  </r>
  <r>
    <n v="817"/>
    <x v="9"/>
    <x v="4"/>
    <x v="3"/>
    <x v="0"/>
    <n v="12"/>
    <n v="9.5"/>
    <n v="2979"/>
    <n v="3.2"/>
    <x v="4"/>
    <x v="2"/>
    <n v="8148"/>
    <n v="118897"/>
    <n v="78"/>
    <x v="114"/>
    <x v="0"/>
    <x v="0"/>
  </r>
  <r>
    <n v="818"/>
    <x v="9"/>
    <x v="1"/>
    <x v="2"/>
    <x v="3"/>
    <n v="85"/>
    <n v="11.2"/>
    <n v="1663"/>
    <n v="3.1"/>
    <x v="2"/>
    <x v="2"/>
    <n v="9747"/>
    <n v="71694"/>
    <n v="98"/>
    <x v="307"/>
    <x v="2"/>
    <x v="0"/>
  </r>
  <r>
    <n v="819"/>
    <x v="6"/>
    <x v="4"/>
    <x v="1"/>
    <x v="0"/>
    <n v="36"/>
    <n v="8.8000000000000007"/>
    <n v="1373"/>
    <n v="2.8"/>
    <x v="2"/>
    <x v="0"/>
    <n v="14831"/>
    <n v="62949"/>
    <n v="61"/>
    <x v="103"/>
    <x v="1"/>
    <x v="0"/>
  </r>
  <r>
    <n v="820"/>
    <x v="6"/>
    <x v="3"/>
    <x v="2"/>
    <x v="0"/>
    <n v="43"/>
    <n v="9.3000000000000007"/>
    <n v="2560"/>
    <n v="3.4"/>
    <x v="1"/>
    <x v="1"/>
    <n v="4921"/>
    <n v="76960"/>
    <n v="65"/>
    <x v="118"/>
    <x v="1"/>
    <x v="0"/>
  </r>
  <r>
    <n v="821"/>
    <x v="5"/>
    <x v="1"/>
    <x v="5"/>
    <x v="1"/>
    <n v="19"/>
    <n v="7.7"/>
    <n v="2799"/>
    <n v="2.7"/>
    <x v="7"/>
    <x v="4"/>
    <n v="5857"/>
    <n v="62528"/>
    <n v="80"/>
    <x v="210"/>
    <x v="1"/>
    <x v="1"/>
  </r>
  <r>
    <n v="822"/>
    <x v="6"/>
    <x v="2"/>
    <x v="0"/>
    <x v="0"/>
    <n v="88"/>
    <n v="5.0999999999999996"/>
    <n v="2855"/>
    <n v="4.5999999999999996"/>
    <x v="7"/>
    <x v="4"/>
    <n v="5409"/>
    <n v="92569"/>
    <n v="70"/>
    <x v="175"/>
    <x v="2"/>
    <x v="2"/>
  </r>
  <r>
    <n v="823"/>
    <x v="8"/>
    <x v="1"/>
    <x v="4"/>
    <x v="3"/>
    <n v="37"/>
    <n v="5.4"/>
    <n v="2521"/>
    <n v="4.3"/>
    <x v="2"/>
    <x v="2"/>
    <n v="12552"/>
    <n v="70304"/>
    <n v="97"/>
    <x v="14"/>
    <x v="0"/>
    <x v="2"/>
  </r>
  <r>
    <n v="824"/>
    <x v="7"/>
    <x v="4"/>
    <x v="0"/>
    <x v="4"/>
    <n v="41"/>
    <n v="3.4"/>
    <n v="1212"/>
    <n v="2.4"/>
    <x v="2"/>
    <x v="2"/>
    <n v="4943"/>
    <n v="85505"/>
    <n v="61"/>
    <x v="192"/>
    <x v="3"/>
    <x v="2"/>
  </r>
  <r>
    <n v="825"/>
    <x v="5"/>
    <x v="1"/>
    <x v="3"/>
    <x v="1"/>
    <n v="60"/>
    <n v="5.7"/>
    <n v="959"/>
    <n v="4.4000000000000004"/>
    <x v="1"/>
    <x v="2"/>
    <n v="1550"/>
    <n v="89683"/>
    <n v="74"/>
    <x v="308"/>
    <x v="3"/>
    <x v="2"/>
  </r>
  <r>
    <n v="826"/>
    <x v="8"/>
    <x v="4"/>
    <x v="0"/>
    <x v="2"/>
    <n v="68"/>
    <n v="7.3"/>
    <n v="1713"/>
    <n v="2"/>
    <x v="2"/>
    <x v="1"/>
    <n v="10002"/>
    <n v="109754"/>
    <n v="80"/>
    <x v="248"/>
    <x v="0"/>
    <x v="1"/>
  </r>
  <r>
    <n v="827"/>
    <x v="6"/>
    <x v="1"/>
    <x v="0"/>
    <x v="0"/>
    <n v="45"/>
    <n v="9.6999999999999993"/>
    <n v="1133"/>
    <n v="4.3"/>
    <x v="4"/>
    <x v="4"/>
    <n v="7751"/>
    <n v="110044"/>
    <n v="63"/>
    <x v="11"/>
    <x v="0"/>
    <x v="1"/>
  </r>
  <r>
    <n v="828"/>
    <x v="7"/>
    <x v="0"/>
    <x v="3"/>
    <x v="3"/>
    <n v="89"/>
    <n v="6.9"/>
    <n v="2872"/>
    <n v="3.8"/>
    <x v="0"/>
    <x v="1"/>
    <n v="13188"/>
    <n v="100057"/>
    <n v="77"/>
    <x v="207"/>
    <x v="1"/>
    <x v="0"/>
  </r>
  <r>
    <n v="829"/>
    <x v="5"/>
    <x v="1"/>
    <x v="5"/>
    <x v="3"/>
    <n v="35"/>
    <n v="8.6999999999999993"/>
    <n v="1837"/>
    <n v="2.1"/>
    <x v="4"/>
    <x v="4"/>
    <n v="12552"/>
    <n v="102307"/>
    <n v="82"/>
    <x v="170"/>
    <x v="2"/>
    <x v="1"/>
  </r>
  <r>
    <n v="830"/>
    <x v="8"/>
    <x v="2"/>
    <x v="1"/>
    <x v="2"/>
    <n v="77"/>
    <n v="8.4"/>
    <n v="2219"/>
    <n v="4.5999999999999996"/>
    <x v="0"/>
    <x v="4"/>
    <n v="14294"/>
    <n v="32987"/>
    <n v="56"/>
    <x v="309"/>
    <x v="1"/>
    <x v="0"/>
  </r>
  <r>
    <n v="831"/>
    <x v="5"/>
    <x v="0"/>
    <x v="5"/>
    <x v="1"/>
    <n v="31"/>
    <n v="7.5"/>
    <n v="1390"/>
    <n v="4.8"/>
    <x v="3"/>
    <x v="3"/>
    <n v="9478"/>
    <n v="102456"/>
    <n v="87"/>
    <x v="100"/>
    <x v="1"/>
    <x v="0"/>
  </r>
  <r>
    <n v="832"/>
    <x v="9"/>
    <x v="1"/>
    <x v="0"/>
    <x v="2"/>
    <n v="10"/>
    <n v="3.3"/>
    <n v="2811"/>
    <n v="3.3"/>
    <x v="6"/>
    <x v="1"/>
    <n v="3884"/>
    <n v="119988"/>
    <n v="67"/>
    <x v="220"/>
    <x v="0"/>
    <x v="1"/>
  </r>
  <r>
    <n v="833"/>
    <x v="5"/>
    <x v="3"/>
    <x v="2"/>
    <x v="4"/>
    <n v="77"/>
    <n v="9.1"/>
    <n v="2616"/>
    <n v="3.5"/>
    <x v="0"/>
    <x v="4"/>
    <n v="3761"/>
    <n v="61901"/>
    <n v="50"/>
    <x v="69"/>
    <x v="2"/>
    <x v="2"/>
  </r>
  <r>
    <n v="834"/>
    <x v="6"/>
    <x v="1"/>
    <x v="1"/>
    <x v="3"/>
    <n v="42"/>
    <n v="12"/>
    <n v="983"/>
    <n v="4.8"/>
    <x v="7"/>
    <x v="0"/>
    <n v="4328"/>
    <n v="52129"/>
    <n v="80"/>
    <x v="181"/>
    <x v="0"/>
    <x v="2"/>
  </r>
  <r>
    <n v="835"/>
    <x v="6"/>
    <x v="2"/>
    <x v="2"/>
    <x v="3"/>
    <n v="70"/>
    <n v="7"/>
    <n v="2330"/>
    <n v="2.9"/>
    <x v="0"/>
    <x v="4"/>
    <n v="4858"/>
    <n v="76121"/>
    <n v="100"/>
    <x v="54"/>
    <x v="0"/>
    <x v="1"/>
  </r>
  <r>
    <n v="836"/>
    <x v="6"/>
    <x v="0"/>
    <x v="5"/>
    <x v="1"/>
    <n v="63"/>
    <n v="5.6"/>
    <n v="2624"/>
    <n v="3.2"/>
    <x v="5"/>
    <x v="4"/>
    <n v="9456"/>
    <n v="20836"/>
    <n v="98"/>
    <x v="136"/>
    <x v="2"/>
    <x v="2"/>
  </r>
  <r>
    <n v="837"/>
    <x v="5"/>
    <x v="4"/>
    <x v="0"/>
    <x v="3"/>
    <n v="48"/>
    <n v="7.4"/>
    <n v="1275"/>
    <n v="4.0999999999999996"/>
    <x v="7"/>
    <x v="1"/>
    <n v="13952"/>
    <n v="84626"/>
    <n v="74"/>
    <x v="225"/>
    <x v="2"/>
    <x v="1"/>
  </r>
  <r>
    <n v="838"/>
    <x v="6"/>
    <x v="2"/>
    <x v="0"/>
    <x v="1"/>
    <n v="87"/>
    <n v="6.4"/>
    <n v="2374"/>
    <n v="3.5"/>
    <x v="5"/>
    <x v="1"/>
    <n v="8926"/>
    <n v="72737"/>
    <n v="86"/>
    <x v="92"/>
    <x v="1"/>
    <x v="1"/>
  </r>
  <r>
    <n v="839"/>
    <x v="7"/>
    <x v="0"/>
    <x v="5"/>
    <x v="4"/>
    <n v="20"/>
    <n v="3.5"/>
    <n v="1383"/>
    <n v="4.8"/>
    <x v="4"/>
    <x v="4"/>
    <n v="5551"/>
    <n v="68904"/>
    <n v="67"/>
    <x v="149"/>
    <x v="3"/>
    <x v="0"/>
  </r>
  <r>
    <n v="840"/>
    <x v="5"/>
    <x v="4"/>
    <x v="3"/>
    <x v="3"/>
    <n v="20"/>
    <n v="7.9"/>
    <n v="2497"/>
    <n v="2.2000000000000002"/>
    <x v="7"/>
    <x v="2"/>
    <n v="13092"/>
    <n v="99400"/>
    <n v="68"/>
    <x v="213"/>
    <x v="0"/>
    <x v="1"/>
  </r>
  <r>
    <n v="841"/>
    <x v="5"/>
    <x v="1"/>
    <x v="5"/>
    <x v="2"/>
    <n v="44"/>
    <n v="6.8"/>
    <n v="2483"/>
    <n v="2.1"/>
    <x v="0"/>
    <x v="0"/>
    <n v="14646"/>
    <n v="81389"/>
    <n v="59"/>
    <x v="310"/>
    <x v="1"/>
    <x v="1"/>
  </r>
  <r>
    <n v="842"/>
    <x v="8"/>
    <x v="0"/>
    <x v="0"/>
    <x v="1"/>
    <n v="37"/>
    <n v="9.6999999999999993"/>
    <n v="938"/>
    <n v="1.7"/>
    <x v="3"/>
    <x v="4"/>
    <n v="12010"/>
    <n v="115488"/>
    <n v="91"/>
    <x v="233"/>
    <x v="2"/>
    <x v="1"/>
  </r>
  <r>
    <n v="843"/>
    <x v="9"/>
    <x v="1"/>
    <x v="4"/>
    <x v="0"/>
    <n v="35"/>
    <n v="5.0999999999999996"/>
    <n v="1078"/>
    <n v="4.0999999999999996"/>
    <x v="3"/>
    <x v="0"/>
    <n v="4074"/>
    <n v="76240"/>
    <n v="72"/>
    <x v="136"/>
    <x v="0"/>
    <x v="1"/>
  </r>
  <r>
    <n v="844"/>
    <x v="6"/>
    <x v="3"/>
    <x v="2"/>
    <x v="2"/>
    <n v="74"/>
    <n v="5"/>
    <n v="2676"/>
    <n v="2.2999999999999998"/>
    <x v="4"/>
    <x v="4"/>
    <n v="7100"/>
    <n v="76337"/>
    <n v="88"/>
    <x v="171"/>
    <x v="3"/>
    <x v="0"/>
  </r>
  <r>
    <n v="845"/>
    <x v="8"/>
    <x v="0"/>
    <x v="5"/>
    <x v="4"/>
    <n v="68"/>
    <n v="6.4"/>
    <n v="2628"/>
    <n v="3.1"/>
    <x v="6"/>
    <x v="0"/>
    <n v="12098"/>
    <n v="34157"/>
    <n v="99"/>
    <x v="43"/>
    <x v="2"/>
    <x v="2"/>
  </r>
  <r>
    <n v="846"/>
    <x v="6"/>
    <x v="0"/>
    <x v="5"/>
    <x v="0"/>
    <n v="88"/>
    <n v="11.5"/>
    <n v="1583"/>
    <n v="4.8"/>
    <x v="3"/>
    <x v="4"/>
    <n v="2172"/>
    <n v="117737"/>
    <n v="97"/>
    <x v="278"/>
    <x v="3"/>
    <x v="2"/>
  </r>
  <r>
    <n v="847"/>
    <x v="6"/>
    <x v="1"/>
    <x v="0"/>
    <x v="4"/>
    <n v="21"/>
    <n v="10.9"/>
    <n v="2882"/>
    <n v="3.3"/>
    <x v="5"/>
    <x v="3"/>
    <n v="5109"/>
    <n v="70410"/>
    <n v="62"/>
    <x v="147"/>
    <x v="3"/>
    <x v="1"/>
  </r>
  <r>
    <n v="848"/>
    <x v="7"/>
    <x v="3"/>
    <x v="1"/>
    <x v="4"/>
    <n v="46"/>
    <n v="10.1"/>
    <n v="2309"/>
    <n v="4.4000000000000004"/>
    <x v="0"/>
    <x v="2"/>
    <n v="5759"/>
    <n v="87444"/>
    <n v="91"/>
    <x v="191"/>
    <x v="0"/>
    <x v="2"/>
  </r>
  <r>
    <n v="849"/>
    <x v="7"/>
    <x v="2"/>
    <x v="5"/>
    <x v="1"/>
    <n v="47"/>
    <n v="8.3000000000000007"/>
    <n v="1961"/>
    <n v="1.6"/>
    <x v="6"/>
    <x v="3"/>
    <n v="1563"/>
    <n v="37781"/>
    <n v="84"/>
    <x v="15"/>
    <x v="3"/>
    <x v="2"/>
  </r>
  <r>
    <n v="850"/>
    <x v="9"/>
    <x v="3"/>
    <x v="1"/>
    <x v="3"/>
    <n v="28"/>
    <n v="5.2"/>
    <n v="1385"/>
    <n v="4.7"/>
    <x v="1"/>
    <x v="2"/>
    <n v="12216"/>
    <n v="68341"/>
    <n v="50"/>
    <x v="46"/>
    <x v="3"/>
    <x v="0"/>
  </r>
  <r>
    <n v="851"/>
    <x v="8"/>
    <x v="2"/>
    <x v="4"/>
    <x v="0"/>
    <n v="75"/>
    <n v="5.9"/>
    <n v="2016"/>
    <n v="3.2"/>
    <x v="4"/>
    <x v="3"/>
    <n v="4745"/>
    <n v="79224"/>
    <n v="93"/>
    <x v="302"/>
    <x v="3"/>
    <x v="0"/>
  </r>
  <r>
    <n v="852"/>
    <x v="9"/>
    <x v="4"/>
    <x v="0"/>
    <x v="3"/>
    <n v="24"/>
    <n v="4.8"/>
    <n v="1141"/>
    <n v="3.8"/>
    <x v="7"/>
    <x v="0"/>
    <n v="13518"/>
    <n v="97258"/>
    <n v="71"/>
    <x v="310"/>
    <x v="3"/>
    <x v="2"/>
  </r>
  <r>
    <n v="853"/>
    <x v="9"/>
    <x v="4"/>
    <x v="0"/>
    <x v="2"/>
    <n v="16"/>
    <n v="11.3"/>
    <n v="1369"/>
    <n v="4.9000000000000004"/>
    <x v="1"/>
    <x v="4"/>
    <n v="8053"/>
    <n v="34677"/>
    <n v="82"/>
    <x v="33"/>
    <x v="3"/>
    <x v="0"/>
  </r>
  <r>
    <n v="854"/>
    <x v="8"/>
    <x v="1"/>
    <x v="4"/>
    <x v="0"/>
    <n v="33"/>
    <n v="10.8"/>
    <n v="1021"/>
    <n v="2.5"/>
    <x v="2"/>
    <x v="1"/>
    <n v="14614"/>
    <n v="100275"/>
    <n v="83"/>
    <x v="178"/>
    <x v="2"/>
    <x v="1"/>
  </r>
  <r>
    <n v="855"/>
    <x v="5"/>
    <x v="3"/>
    <x v="0"/>
    <x v="2"/>
    <n v="41"/>
    <n v="6.8"/>
    <n v="949"/>
    <n v="3.9"/>
    <x v="4"/>
    <x v="2"/>
    <n v="11675"/>
    <n v="76703"/>
    <n v="62"/>
    <x v="251"/>
    <x v="2"/>
    <x v="0"/>
  </r>
  <r>
    <n v="856"/>
    <x v="6"/>
    <x v="1"/>
    <x v="1"/>
    <x v="3"/>
    <n v="30"/>
    <n v="3.4"/>
    <n v="1673"/>
    <n v="3.1"/>
    <x v="5"/>
    <x v="4"/>
    <n v="4400"/>
    <n v="78244"/>
    <n v="74"/>
    <x v="70"/>
    <x v="1"/>
    <x v="1"/>
  </r>
  <r>
    <n v="857"/>
    <x v="6"/>
    <x v="2"/>
    <x v="2"/>
    <x v="2"/>
    <n v="87"/>
    <n v="11.6"/>
    <n v="2466"/>
    <n v="4.0999999999999996"/>
    <x v="1"/>
    <x v="1"/>
    <n v="13682"/>
    <n v="115415"/>
    <n v="87"/>
    <x v="70"/>
    <x v="3"/>
    <x v="2"/>
  </r>
  <r>
    <n v="858"/>
    <x v="9"/>
    <x v="1"/>
    <x v="1"/>
    <x v="3"/>
    <n v="41"/>
    <n v="9.3000000000000007"/>
    <n v="2692"/>
    <n v="3.4"/>
    <x v="0"/>
    <x v="4"/>
    <n v="6130"/>
    <n v="63951"/>
    <n v="69"/>
    <x v="218"/>
    <x v="1"/>
    <x v="0"/>
  </r>
  <r>
    <n v="859"/>
    <x v="9"/>
    <x v="1"/>
    <x v="5"/>
    <x v="1"/>
    <n v="42"/>
    <n v="10.5"/>
    <n v="1337"/>
    <n v="1.9"/>
    <x v="3"/>
    <x v="1"/>
    <n v="12042"/>
    <n v="29793"/>
    <n v="84"/>
    <x v="38"/>
    <x v="2"/>
    <x v="0"/>
  </r>
  <r>
    <n v="860"/>
    <x v="7"/>
    <x v="1"/>
    <x v="4"/>
    <x v="3"/>
    <n v="83"/>
    <n v="11.4"/>
    <n v="1013"/>
    <n v="2.2999999999999998"/>
    <x v="3"/>
    <x v="2"/>
    <n v="13349"/>
    <n v="98310"/>
    <n v="56"/>
    <x v="37"/>
    <x v="3"/>
    <x v="0"/>
  </r>
  <r>
    <n v="861"/>
    <x v="5"/>
    <x v="1"/>
    <x v="2"/>
    <x v="3"/>
    <n v="47"/>
    <n v="4"/>
    <n v="2813"/>
    <n v="2.5"/>
    <x v="1"/>
    <x v="2"/>
    <n v="14979"/>
    <n v="53356"/>
    <n v="86"/>
    <x v="289"/>
    <x v="1"/>
    <x v="2"/>
  </r>
  <r>
    <n v="862"/>
    <x v="6"/>
    <x v="4"/>
    <x v="5"/>
    <x v="4"/>
    <n v="87"/>
    <n v="11"/>
    <n v="1535"/>
    <n v="1.9"/>
    <x v="1"/>
    <x v="1"/>
    <n v="11334"/>
    <n v="72940"/>
    <n v="61"/>
    <x v="35"/>
    <x v="3"/>
    <x v="0"/>
  </r>
  <r>
    <n v="863"/>
    <x v="6"/>
    <x v="1"/>
    <x v="3"/>
    <x v="1"/>
    <n v="11"/>
    <n v="6.9"/>
    <n v="1034"/>
    <n v="2.1"/>
    <x v="5"/>
    <x v="3"/>
    <n v="6195"/>
    <n v="89281"/>
    <n v="65"/>
    <x v="138"/>
    <x v="0"/>
    <x v="0"/>
  </r>
  <r>
    <n v="864"/>
    <x v="5"/>
    <x v="2"/>
    <x v="5"/>
    <x v="1"/>
    <n v="80"/>
    <n v="3.9"/>
    <n v="1297"/>
    <n v="4.0999999999999996"/>
    <x v="2"/>
    <x v="2"/>
    <n v="8915"/>
    <n v="72019"/>
    <n v="97"/>
    <x v="28"/>
    <x v="2"/>
    <x v="2"/>
  </r>
  <r>
    <n v="865"/>
    <x v="9"/>
    <x v="4"/>
    <x v="3"/>
    <x v="2"/>
    <n v="10"/>
    <n v="6.4"/>
    <n v="2428"/>
    <n v="4.2"/>
    <x v="0"/>
    <x v="1"/>
    <n v="1219"/>
    <n v="92967"/>
    <n v="64"/>
    <x v="31"/>
    <x v="2"/>
    <x v="1"/>
  </r>
  <r>
    <n v="866"/>
    <x v="5"/>
    <x v="1"/>
    <x v="0"/>
    <x v="1"/>
    <n v="72"/>
    <n v="12"/>
    <n v="807"/>
    <n v="2.2999999999999998"/>
    <x v="5"/>
    <x v="1"/>
    <n v="2960"/>
    <n v="53519"/>
    <n v="60"/>
    <x v="105"/>
    <x v="2"/>
    <x v="1"/>
  </r>
  <r>
    <n v="867"/>
    <x v="8"/>
    <x v="3"/>
    <x v="4"/>
    <x v="1"/>
    <n v="68"/>
    <n v="7.3"/>
    <n v="2770"/>
    <n v="4.5"/>
    <x v="6"/>
    <x v="1"/>
    <n v="8416"/>
    <n v="65134"/>
    <n v="78"/>
    <x v="297"/>
    <x v="3"/>
    <x v="0"/>
  </r>
  <r>
    <n v="868"/>
    <x v="7"/>
    <x v="2"/>
    <x v="0"/>
    <x v="2"/>
    <n v="65"/>
    <n v="9.1"/>
    <n v="2890"/>
    <n v="3.8"/>
    <x v="0"/>
    <x v="2"/>
    <n v="5389"/>
    <n v="113301"/>
    <n v="50"/>
    <x v="59"/>
    <x v="2"/>
    <x v="2"/>
  </r>
  <r>
    <n v="869"/>
    <x v="8"/>
    <x v="4"/>
    <x v="1"/>
    <x v="0"/>
    <n v="44"/>
    <n v="9.3000000000000007"/>
    <n v="2849"/>
    <n v="1.7"/>
    <x v="7"/>
    <x v="2"/>
    <n v="8453"/>
    <n v="83794"/>
    <n v="58"/>
    <x v="280"/>
    <x v="0"/>
    <x v="2"/>
  </r>
  <r>
    <n v="870"/>
    <x v="6"/>
    <x v="0"/>
    <x v="5"/>
    <x v="3"/>
    <n v="67"/>
    <n v="7.8"/>
    <n v="1220"/>
    <n v="2.2999999999999998"/>
    <x v="2"/>
    <x v="0"/>
    <n v="11634"/>
    <n v="32046"/>
    <n v="97"/>
    <x v="59"/>
    <x v="3"/>
    <x v="1"/>
  </r>
  <r>
    <n v="871"/>
    <x v="5"/>
    <x v="4"/>
    <x v="4"/>
    <x v="0"/>
    <n v="87"/>
    <n v="3.8"/>
    <n v="1666"/>
    <n v="4.9000000000000004"/>
    <x v="1"/>
    <x v="0"/>
    <n v="6184"/>
    <n v="97598"/>
    <n v="74"/>
    <x v="290"/>
    <x v="1"/>
    <x v="2"/>
  </r>
  <r>
    <n v="872"/>
    <x v="9"/>
    <x v="3"/>
    <x v="0"/>
    <x v="2"/>
    <n v="40"/>
    <n v="9"/>
    <n v="2576"/>
    <n v="2.2000000000000002"/>
    <x v="7"/>
    <x v="2"/>
    <n v="5232"/>
    <n v="41264"/>
    <n v="82"/>
    <x v="65"/>
    <x v="3"/>
    <x v="0"/>
  </r>
  <r>
    <n v="873"/>
    <x v="7"/>
    <x v="2"/>
    <x v="3"/>
    <x v="2"/>
    <n v="26"/>
    <n v="8.6999999999999993"/>
    <n v="2675"/>
    <n v="4.9000000000000004"/>
    <x v="3"/>
    <x v="2"/>
    <n v="9790"/>
    <n v="90095"/>
    <n v="74"/>
    <x v="63"/>
    <x v="2"/>
    <x v="1"/>
  </r>
  <r>
    <n v="874"/>
    <x v="6"/>
    <x v="4"/>
    <x v="5"/>
    <x v="3"/>
    <n v="72"/>
    <n v="5.4"/>
    <n v="2094"/>
    <n v="3.7"/>
    <x v="3"/>
    <x v="4"/>
    <n v="3268"/>
    <n v="75686"/>
    <n v="50"/>
    <x v="290"/>
    <x v="0"/>
    <x v="0"/>
  </r>
  <r>
    <n v="875"/>
    <x v="7"/>
    <x v="4"/>
    <x v="4"/>
    <x v="3"/>
    <n v="62"/>
    <n v="5.4"/>
    <n v="2111"/>
    <n v="4"/>
    <x v="7"/>
    <x v="4"/>
    <n v="10614"/>
    <n v="89915"/>
    <n v="54"/>
    <x v="24"/>
    <x v="2"/>
    <x v="1"/>
  </r>
  <r>
    <n v="876"/>
    <x v="5"/>
    <x v="1"/>
    <x v="2"/>
    <x v="4"/>
    <n v="29"/>
    <n v="5"/>
    <n v="2095"/>
    <n v="3.1"/>
    <x v="5"/>
    <x v="1"/>
    <n v="5959"/>
    <n v="20484"/>
    <n v="85"/>
    <x v="32"/>
    <x v="1"/>
    <x v="1"/>
  </r>
  <r>
    <n v="877"/>
    <x v="8"/>
    <x v="2"/>
    <x v="3"/>
    <x v="1"/>
    <n v="51"/>
    <n v="8.6999999999999993"/>
    <n v="2314"/>
    <n v="3.1"/>
    <x v="3"/>
    <x v="4"/>
    <n v="2406"/>
    <n v="50748"/>
    <n v="79"/>
    <x v="240"/>
    <x v="0"/>
    <x v="2"/>
  </r>
  <r>
    <n v="878"/>
    <x v="5"/>
    <x v="4"/>
    <x v="5"/>
    <x v="2"/>
    <n v="66"/>
    <n v="7"/>
    <n v="2626"/>
    <n v="2.2000000000000002"/>
    <x v="5"/>
    <x v="4"/>
    <n v="14586"/>
    <n v="72292"/>
    <n v="97"/>
    <x v="248"/>
    <x v="1"/>
    <x v="0"/>
  </r>
  <r>
    <n v="879"/>
    <x v="6"/>
    <x v="2"/>
    <x v="4"/>
    <x v="0"/>
    <n v="40"/>
    <n v="5.5"/>
    <n v="2800"/>
    <n v="4.3"/>
    <x v="7"/>
    <x v="3"/>
    <n v="10796"/>
    <n v="80421"/>
    <n v="91"/>
    <x v="237"/>
    <x v="2"/>
    <x v="1"/>
  </r>
  <r>
    <n v="880"/>
    <x v="8"/>
    <x v="0"/>
    <x v="0"/>
    <x v="2"/>
    <n v="34"/>
    <n v="11.5"/>
    <n v="2214"/>
    <n v="3.7"/>
    <x v="3"/>
    <x v="2"/>
    <n v="12902"/>
    <n v="53622"/>
    <n v="93"/>
    <x v="30"/>
    <x v="2"/>
    <x v="2"/>
  </r>
  <r>
    <n v="881"/>
    <x v="9"/>
    <x v="3"/>
    <x v="0"/>
    <x v="1"/>
    <n v="61"/>
    <n v="3.7"/>
    <n v="2451"/>
    <n v="4.3"/>
    <x v="4"/>
    <x v="3"/>
    <n v="13611"/>
    <n v="106139"/>
    <n v="93"/>
    <x v="97"/>
    <x v="1"/>
    <x v="2"/>
  </r>
  <r>
    <n v="882"/>
    <x v="8"/>
    <x v="4"/>
    <x v="5"/>
    <x v="4"/>
    <n v="47"/>
    <n v="4.5"/>
    <n v="875"/>
    <n v="1.9"/>
    <x v="4"/>
    <x v="2"/>
    <n v="9170"/>
    <n v="62671"/>
    <n v="66"/>
    <x v="179"/>
    <x v="2"/>
    <x v="2"/>
  </r>
  <r>
    <n v="883"/>
    <x v="8"/>
    <x v="0"/>
    <x v="2"/>
    <x v="1"/>
    <n v="33"/>
    <n v="7.4"/>
    <n v="1259"/>
    <n v="4.7"/>
    <x v="5"/>
    <x v="3"/>
    <n v="1974"/>
    <n v="95198"/>
    <n v="96"/>
    <x v="311"/>
    <x v="1"/>
    <x v="2"/>
  </r>
  <r>
    <n v="884"/>
    <x v="8"/>
    <x v="1"/>
    <x v="0"/>
    <x v="4"/>
    <n v="81"/>
    <n v="10.6"/>
    <n v="1958"/>
    <n v="2.2999999999999998"/>
    <x v="2"/>
    <x v="4"/>
    <n v="11403"/>
    <n v="99233"/>
    <n v="59"/>
    <x v="0"/>
    <x v="0"/>
    <x v="1"/>
  </r>
  <r>
    <n v="885"/>
    <x v="6"/>
    <x v="0"/>
    <x v="5"/>
    <x v="2"/>
    <n v="13"/>
    <n v="7.9"/>
    <n v="2920"/>
    <n v="4.8"/>
    <x v="3"/>
    <x v="4"/>
    <n v="12253"/>
    <n v="27405"/>
    <n v="91"/>
    <x v="11"/>
    <x v="3"/>
    <x v="1"/>
  </r>
  <r>
    <n v="886"/>
    <x v="6"/>
    <x v="4"/>
    <x v="4"/>
    <x v="1"/>
    <n v="13"/>
    <n v="8.4"/>
    <n v="2853"/>
    <n v="1.8"/>
    <x v="1"/>
    <x v="1"/>
    <n v="5016"/>
    <n v="50735"/>
    <n v="57"/>
    <x v="154"/>
    <x v="0"/>
    <x v="1"/>
  </r>
  <r>
    <n v="887"/>
    <x v="6"/>
    <x v="2"/>
    <x v="4"/>
    <x v="2"/>
    <n v="34"/>
    <n v="4"/>
    <n v="924"/>
    <n v="1.8"/>
    <x v="7"/>
    <x v="3"/>
    <n v="9390"/>
    <n v="77312"/>
    <n v="95"/>
    <x v="116"/>
    <x v="0"/>
    <x v="1"/>
  </r>
  <r>
    <n v="888"/>
    <x v="7"/>
    <x v="0"/>
    <x v="3"/>
    <x v="2"/>
    <n v="82"/>
    <n v="7.6"/>
    <n v="2088"/>
    <n v="3.6"/>
    <x v="1"/>
    <x v="3"/>
    <n v="14118"/>
    <n v="111633"/>
    <n v="100"/>
    <x v="123"/>
    <x v="0"/>
    <x v="0"/>
  </r>
  <r>
    <n v="889"/>
    <x v="9"/>
    <x v="1"/>
    <x v="3"/>
    <x v="3"/>
    <n v="87"/>
    <n v="11.3"/>
    <n v="1910"/>
    <n v="3.2"/>
    <x v="0"/>
    <x v="3"/>
    <n v="9253"/>
    <n v="40338"/>
    <n v="95"/>
    <x v="28"/>
    <x v="2"/>
    <x v="2"/>
  </r>
  <r>
    <n v="890"/>
    <x v="6"/>
    <x v="1"/>
    <x v="1"/>
    <x v="1"/>
    <n v="20"/>
    <n v="3"/>
    <n v="1990"/>
    <n v="2.2999999999999998"/>
    <x v="3"/>
    <x v="2"/>
    <n v="2999"/>
    <n v="102791"/>
    <n v="98"/>
    <x v="4"/>
    <x v="2"/>
    <x v="2"/>
  </r>
  <r>
    <n v="891"/>
    <x v="8"/>
    <x v="0"/>
    <x v="4"/>
    <x v="0"/>
    <n v="36"/>
    <n v="3.8"/>
    <n v="2555"/>
    <n v="4.3"/>
    <x v="5"/>
    <x v="3"/>
    <n v="5204"/>
    <n v="86532"/>
    <n v="78"/>
    <x v="292"/>
    <x v="0"/>
    <x v="2"/>
  </r>
  <r>
    <n v="892"/>
    <x v="9"/>
    <x v="0"/>
    <x v="3"/>
    <x v="1"/>
    <n v="29"/>
    <n v="8.1"/>
    <n v="817"/>
    <n v="3.8"/>
    <x v="3"/>
    <x v="4"/>
    <n v="8591"/>
    <n v="50048"/>
    <n v="63"/>
    <x v="198"/>
    <x v="3"/>
    <x v="1"/>
  </r>
  <r>
    <n v="893"/>
    <x v="8"/>
    <x v="2"/>
    <x v="2"/>
    <x v="4"/>
    <n v="80"/>
    <n v="11.6"/>
    <n v="2371"/>
    <n v="3.1"/>
    <x v="0"/>
    <x v="2"/>
    <n v="9671"/>
    <n v="83353"/>
    <n v="98"/>
    <x v="155"/>
    <x v="2"/>
    <x v="2"/>
  </r>
  <r>
    <n v="894"/>
    <x v="5"/>
    <x v="2"/>
    <x v="5"/>
    <x v="4"/>
    <n v="34"/>
    <n v="8.6"/>
    <n v="1978"/>
    <n v="4.5"/>
    <x v="5"/>
    <x v="0"/>
    <n v="1982"/>
    <n v="39334"/>
    <n v="84"/>
    <x v="132"/>
    <x v="3"/>
    <x v="0"/>
  </r>
  <r>
    <n v="895"/>
    <x v="6"/>
    <x v="2"/>
    <x v="0"/>
    <x v="2"/>
    <n v="33"/>
    <n v="11.2"/>
    <n v="847"/>
    <n v="4.0999999999999996"/>
    <x v="6"/>
    <x v="1"/>
    <n v="12547"/>
    <n v="26191"/>
    <n v="77"/>
    <x v="292"/>
    <x v="1"/>
    <x v="1"/>
  </r>
  <r>
    <n v="896"/>
    <x v="6"/>
    <x v="3"/>
    <x v="2"/>
    <x v="4"/>
    <n v="57"/>
    <n v="9.9"/>
    <n v="1524"/>
    <n v="3.5"/>
    <x v="3"/>
    <x v="2"/>
    <n v="14747"/>
    <n v="55757"/>
    <n v="78"/>
    <x v="117"/>
    <x v="1"/>
    <x v="0"/>
  </r>
  <r>
    <n v="897"/>
    <x v="9"/>
    <x v="1"/>
    <x v="2"/>
    <x v="2"/>
    <n v="11"/>
    <n v="11.4"/>
    <n v="1396"/>
    <n v="3.8"/>
    <x v="5"/>
    <x v="3"/>
    <n v="6162"/>
    <n v="79021"/>
    <n v="70"/>
    <x v="312"/>
    <x v="2"/>
    <x v="2"/>
  </r>
  <r>
    <n v="898"/>
    <x v="8"/>
    <x v="0"/>
    <x v="3"/>
    <x v="2"/>
    <n v="40"/>
    <n v="5.8"/>
    <n v="1392"/>
    <n v="1.7"/>
    <x v="4"/>
    <x v="4"/>
    <n v="13153"/>
    <n v="32302"/>
    <n v="83"/>
    <x v="156"/>
    <x v="2"/>
    <x v="2"/>
  </r>
  <r>
    <n v="899"/>
    <x v="8"/>
    <x v="2"/>
    <x v="0"/>
    <x v="2"/>
    <n v="33"/>
    <n v="8.5"/>
    <n v="1242"/>
    <n v="3.8"/>
    <x v="5"/>
    <x v="4"/>
    <n v="10325"/>
    <n v="27481"/>
    <n v="64"/>
    <x v="142"/>
    <x v="1"/>
    <x v="1"/>
  </r>
  <r>
    <n v="900"/>
    <x v="5"/>
    <x v="4"/>
    <x v="5"/>
    <x v="4"/>
    <n v="76"/>
    <n v="5.5"/>
    <n v="858"/>
    <n v="4.7"/>
    <x v="6"/>
    <x v="2"/>
    <n v="6059"/>
    <n v="39829"/>
    <n v="98"/>
    <x v="86"/>
    <x v="0"/>
    <x v="1"/>
  </r>
  <r>
    <n v="901"/>
    <x v="6"/>
    <x v="2"/>
    <x v="1"/>
    <x v="1"/>
    <n v="88"/>
    <n v="8.5"/>
    <n v="2680"/>
    <n v="3.6"/>
    <x v="7"/>
    <x v="3"/>
    <n v="3181"/>
    <n v="75425"/>
    <n v="50"/>
    <x v="14"/>
    <x v="1"/>
    <x v="1"/>
  </r>
  <r>
    <n v="902"/>
    <x v="6"/>
    <x v="2"/>
    <x v="0"/>
    <x v="3"/>
    <n v="12"/>
    <n v="5.3"/>
    <n v="2827"/>
    <n v="4.5999999999999996"/>
    <x v="0"/>
    <x v="0"/>
    <n v="5710"/>
    <n v="109040"/>
    <n v="93"/>
    <x v="267"/>
    <x v="2"/>
    <x v="0"/>
  </r>
  <r>
    <n v="903"/>
    <x v="6"/>
    <x v="1"/>
    <x v="4"/>
    <x v="2"/>
    <n v="33"/>
    <n v="9.1999999999999993"/>
    <n v="1313"/>
    <n v="4.7"/>
    <x v="7"/>
    <x v="1"/>
    <n v="1415"/>
    <n v="79613"/>
    <n v="71"/>
    <x v="313"/>
    <x v="0"/>
    <x v="1"/>
  </r>
  <r>
    <n v="904"/>
    <x v="9"/>
    <x v="2"/>
    <x v="2"/>
    <x v="2"/>
    <n v="13"/>
    <n v="10.3"/>
    <n v="2081"/>
    <n v="4"/>
    <x v="1"/>
    <x v="2"/>
    <n v="13069"/>
    <n v="87603"/>
    <n v="80"/>
    <x v="170"/>
    <x v="2"/>
    <x v="2"/>
  </r>
  <r>
    <n v="905"/>
    <x v="8"/>
    <x v="3"/>
    <x v="1"/>
    <x v="3"/>
    <n v="47"/>
    <n v="5"/>
    <n v="1010"/>
    <n v="4.2"/>
    <x v="0"/>
    <x v="2"/>
    <n v="1956"/>
    <n v="95562"/>
    <n v="89"/>
    <x v="138"/>
    <x v="1"/>
    <x v="2"/>
  </r>
  <r>
    <n v="906"/>
    <x v="7"/>
    <x v="2"/>
    <x v="4"/>
    <x v="4"/>
    <n v="10"/>
    <n v="4.3"/>
    <n v="2614"/>
    <n v="3.2"/>
    <x v="1"/>
    <x v="0"/>
    <n v="4662"/>
    <n v="29320"/>
    <n v="55"/>
    <x v="314"/>
    <x v="0"/>
    <x v="2"/>
  </r>
  <r>
    <n v="907"/>
    <x v="8"/>
    <x v="2"/>
    <x v="2"/>
    <x v="1"/>
    <n v="65"/>
    <n v="11.2"/>
    <n v="874"/>
    <n v="1.7"/>
    <x v="6"/>
    <x v="0"/>
    <n v="9848"/>
    <n v="56423"/>
    <n v="94"/>
    <x v="213"/>
    <x v="0"/>
    <x v="0"/>
  </r>
  <r>
    <n v="908"/>
    <x v="5"/>
    <x v="1"/>
    <x v="3"/>
    <x v="1"/>
    <n v="60"/>
    <n v="6.5"/>
    <n v="2486"/>
    <n v="3.8"/>
    <x v="5"/>
    <x v="0"/>
    <n v="13214"/>
    <n v="29306"/>
    <n v="96"/>
    <x v="203"/>
    <x v="1"/>
    <x v="1"/>
  </r>
  <r>
    <n v="909"/>
    <x v="5"/>
    <x v="0"/>
    <x v="2"/>
    <x v="1"/>
    <n v="43"/>
    <n v="9.4"/>
    <n v="2185"/>
    <n v="5"/>
    <x v="6"/>
    <x v="2"/>
    <n v="2596"/>
    <n v="90213"/>
    <n v="80"/>
    <x v="315"/>
    <x v="3"/>
    <x v="2"/>
  </r>
  <r>
    <n v="910"/>
    <x v="6"/>
    <x v="4"/>
    <x v="4"/>
    <x v="3"/>
    <n v="10"/>
    <n v="8.1999999999999993"/>
    <n v="2784"/>
    <n v="3.8"/>
    <x v="4"/>
    <x v="3"/>
    <n v="12768"/>
    <n v="52812"/>
    <n v="51"/>
    <x v="96"/>
    <x v="3"/>
    <x v="1"/>
  </r>
  <r>
    <n v="911"/>
    <x v="8"/>
    <x v="2"/>
    <x v="2"/>
    <x v="0"/>
    <n v="88"/>
    <n v="4.0999999999999996"/>
    <n v="2885"/>
    <n v="3.4"/>
    <x v="2"/>
    <x v="3"/>
    <n v="5314"/>
    <n v="38943"/>
    <n v="80"/>
    <x v="235"/>
    <x v="3"/>
    <x v="1"/>
  </r>
  <r>
    <n v="912"/>
    <x v="6"/>
    <x v="2"/>
    <x v="4"/>
    <x v="0"/>
    <n v="31"/>
    <n v="9.3000000000000007"/>
    <n v="1627"/>
    <n v="2.1"/>
    <x v="4"/>
    <x v="2"/>
    <n v="5337"/>
    <n v="91150"/>
    <n v="94"/>
    <x v="178"/>
    <x v="0"/>
    <x v="1"/>
  </r>
  <r>
    <n v="913"/>
    <x v="7"/>
    <x v="3"/>
    <x v="2"/>
    <x v="4"/>
    <n v="35"/>
    <n v="9"/>
    <n v="1116"/>
    <n v="2"/>
    <x v="5"/>
    <x v="2"/>
    <n v="4495"/>
    <n v="37817"/>
    <n v="90"/>
    <x v="203"/>
    <x v="2"/>
    <x v="2"/>
  </r>
  <r>
    <n v="914"/>
    <x v="6"/>
    <x v="1"/>
    <x v="1"/>
    <x v="3"/>
    <n v="58"/>
    <n v="5.4"/>
    <n v="2765"/>
    <n v="2.6"/>
    <x v="0"/>
    <x v="2"/>
    <n v="5729"/>
    <n v="101214"/>
    <n v="98"/>
    <x v="49"/>
    <x v="1"/>
    <x v="1"/>
  </r>
  <r>
    <n v="915"/>
    <x v="6"/>
    <x v="4"/>
    <x v="1"/>
    <x v="1"/>
    <n v="69"/>
    <n v="9.9"/>
    <n v="1405"/>
    <n v="2.7"/>
    <x v="7"/>
    <x v="2"/>
    <n v="4107"/>
    <n v="98672"/>
    <n v="100"/>
    <x v="243"/>
    <x v="1"/>
    <x v="2"/>
  </r>
  <r>
    <n v="916"/>
    <x v="6"/>
    <x v="1"/>
    <x v="2"/>
    <x v="0"/>
    <n v="48"/>
    <n v="8.1"/>
    <n v="2213"/>
    <n v="1.9"/>
    <x v="5"/>
    <x v="2"/>
    <n v="3610"/>
    <n v="115039"/>
    <n v="91"/>
    <x v="171"/>
    <x v="0"/>
    <x v="2"/>
  </r>
  <r>
    <n v="917"/>
    <x v="8"/>
    <x v="4"/>
    <x v="1"/>
    <x v="3"/>
    <n v="78"/>
    <n v="11.7"/>
    <n v="2189"/>
    <n v="3.1"/>
    <x v="2"/>
    <x v="3"/>
    <n v="1588"/>
    <n v="95896"/>
    <n v="58"/>
    <x v="230"/>
    <x v="0"/>
    <x v="0"/>
  </r>
  <r>
    <n v="918"/>
    <x v="5"/>
    <x v="0"/>
    <x v="3"/>
    <x v="0"/>
    <n v="65"/>
    <n v="6"/>
    <n v="2478"/>
    <n v="2.2999999999999998"/>
    <x v="7"/>
    <x v="0"/>
    <n v="11180"/>
    <n v="66214"/>
    <n v="53"/>
    <x v="183"/>
    <x v="0"/>
    <x v="2"/>
  </r>
  <r>
    <n v="919"/>
    <x v="7"/>
    <x v="2"/>
    <x v="0"/>
    <x v="2"/>
    <n v="71"/>
    <n v="10.5"/>
    <n v="1470"/>
    <n v="4.5"/>
    <x v="7"/>
    <x v="2"/>
    <n v="5837"/>
    <n v="22779"/>
    <n v="78"/>
    <x v="72"/>
    <x v="1"/>
    <x v="2"/>
  </r>
  <r>
    <n v="920"/>
    <x v="9"/>
    <x v="4"/>
    <x v="5"/>
    <x v="1"/>
    <n v="57"/>
    <n v="9.6999999999999993"/>
    <n v="2048"/>
    <n v="4.0999999999999996"/>
    <x v="7"/>
    <x v="4"/>
    <n v="10223"/>
    <n v="111706"/>
    <n v="50"/>
    <x v="16"/>
    <x v="3"/>
    <x v="2"/>
  </r>
  <r>
    <n v="921"/>
    <x v="5"/>
    <x v="1"/>
    <x v="5"/>
    <x v="4"/>
    <n v="87"/>
    <n v="9.1"/>
    <n v="2074"/>
    <n v="1.6"/>
    <x v="1"/>
    <x v="0"/>
    <n v="7068"/>
    <n v="105137"/>
    <n v="88"/>
    <x v="261"/>
    <x v="2"/>
    <x v="2"/>
  </r>
  <r>
    <n v="922"/>
    <x v="9"/>
    <x v="3"/>
    <x v="2"/>
    <x v="3"/>
    <n v="65"/>
    <n v="7.8"/>
    <n v="1973"/>
    <n v="2.4"/>
    <x v="6"/>
    <x v="0"/>
    <n v="8339"/>
    <n v="37139"/>
    <n v="60"/>
    <x v="13"/>
    <x v="3"/>
    <x v="2"/>
  </r>
  <r>
    <n v="923"/>
    <x v="5"/>
    <x v="2"/>
    <x v="1"/>
    <x v="0"/>
    <n v="36"/>
    <n v="10.3"/>
    <n v="1075"/>
    <n v="2.5"/>
    <x v="1"/>
    <x v="0"/>
    <n v="14259"/>
    <n v="117360"/>
    <n v="52"/>
    <x v="286"/>
    <x v="2"/>
    <x v="0"/>
  </r>
  <r>
    <n v="924"/>
    <x v="8"/>
    <x v="0"/>
    <x v="1"/>
    <x v="3"/>
    <n v="45"/>
    <n v="9.4"/>
    <n v="1163"/>
    <n v="5"/>
    <x v="4"/>
    <x v="2"/>
    <n v="8662"/>
    <n v="91131"/>
    <n v="61"/>
    <x v="137"/>
    <x v="3"/>
    <x v="1"/>
  </r>
  <r>
    <n v="925"/>
    <x v="8"/>
    <x v="4"/>
    <x v="1"/>
    <x v="3"/>
    <n v="13"/>
    <n v="4.4000000000000004"/>
    <n v="1503"/>
    <n v="1.5"/>
    <x v="7"/>
    <x v="4"/>
    <n v="10553"/>
    <n v="39678"/>
    <n v="71"/>
    <x v="74"/>
    <x v="1"/>
    <x v="1"/>
  </r>
  <r>
    <n v="926"/>
    <x v="7"/>
    <x v="1"/>
    <x v="3"/>
    <x v="0"/>
    <n v="48"/>
    <n v="12"/>
    <n v="2432"/>
    <n v="3.9"/>
    <x v="6"/>
    <x v="2"/>
    <n v="2978"/>
    <n v="119825"/>
    <n v="77"/>
    <x v="305"/>
    <x v="3"/>
    <x v="0"/>
  </r>
  <r>
    <n v="927"/>
    <x v="6"/>
    <x v="4"/>
    <x v="3"/>
    <x v="4"/>
    <n v="70"/>
    <n v="11.8"/>
    <n v="1613"/>
    <n v="2.7"/>
    <x v="2"/>
    <x v="3"/>
    <n v="12295"/>
    <n v="48630"/>
    <n v="75"/>
    <x v="46"/>
    <x v="0"/>
    <x v="1"/>
  </r>
  <r>
    <n v="928"/>
    <x v="5"/>
    <x v="4"/>
    <x v="1"/>
    <x v="3"/>
    <n v="88"/>
    <n v="6.9"/>
    <n v="2509"/>
    <n v="4.9000000000000004"/>
    <x v="0"/>
    <x v="0"/>
    <n v="9266"/>
    <n v="35288"/>
    <n v="70"/>
    <x v="316"/>
    <x v="2"/>
    <x v="2"/>
  </r>
  <r>
    <n v="929"/>
    <x v="7"/>
    <x v="4"/>
    <x v="2"/>
    <x v="3"/>
    <n v="41"/>
    <n v="7.7"/>
    <n v="1415"/>
    <n v="3.4"/>
    <x v="7"/>
    <x v="4"/>
    <n v="9974"/>
    <n v="27160"/>
    <n v="94"/>
    <x v="18"/>
    <x v="3"/>
    <x v="2"/>
  </r>
  <r>
    <n v="930"/>
    <x v="8"/>
    <x v="2"/>
    <x v="3"/>
    <x v="4"/>
    <n v="60"/>
    <n v="6.3"/>
    <n v="1407"/>
    <n v="5"/>
    <x v="1"/>
    <x v="4"/>
    <n v="14124"/>
    <n v="59948"/>
    <n v="64"/>
    <x v="240"/>
    <x v="0"/>
    <x v="2"/>
  </r>
  <r>
    <n v="931"/>
    <x v="9"/>
    <x v="3"/>
    <x v="1"/>
    <x v="2"/>
    <n v="68"/>
    <n v="11.4"/>
    <n v="2975"/>
    <n v="2.4"/>
    <x v="5"/>
    <x v="1"/>
    <n v="2502"/>
    <n v="20081"/>
    <n v="68"/>
    <x v="156"/>
    <x v="2"/>
    <x v="1"/>
  </r>
  <r>
    <n v="932"/>
    <x v="9"/>
    <x v="3"/>
    <x v="4"/>
    <x v="0"/>
    <n v="66"/>
    <n v="11.3"/>
    <n v="2298"/>
    <n v="3.5"/>
    <x v="6"/>
    <x v="0"/>
    <n v="11861"/>
    <n v="22849"/>
    <n v="65"/>
    <x v="233"/>
    <x v="1"/>
    <x v="1"/>
  </r>
  <r>
    <n v="933"/>
    <x v="6"/>
    <x v="0"/>
    <x v="3"/>
    <x v="0"/>
    <n v="82"/>
    <n v="9.6"/>
    <n v="1437"/>
    <n v="2.4"/>
    <x v="6"/>
    <x v="3"/>
    <n v="2644"/>
    <n v="94193"/>
    <n v="88"/>
    <x v="83"/>
    <x v="2"/>
    <x v="1"/>
  </r>
  <r>
    <n v="934"/>
    <x v="6"/>
    <x v="3"/>
    <x v="3"/>
    <x v="3"/>
    <n v="18"/>
    <n v="8.6"/>
    <n v="1072"/>
    <n v="3.1"/>
    <x v="1"/>
    <x v="2"/>
    <n v="4600"/>
    <n v="22505"/>
    <n v="73"/>
    <x v="219"/>
    <x v="3"/>
    <x v="1"/>
  </r>
  <r>
    <n v="935"/>
    <x v="5"/>
    <x v="1"/>
    <x v="3"/>
    <x v="2"/>
    <n v="58"/>
    <n v="3.2"/>
    <n v="1234"/>
    <n v="4.5"/>
    <x v="5"/>
    <x v="3"/>
    <n v="10748"/>
    <n v="27221"/>
    <n v="76"/>
    <x v="114"/>
    <x v="3"/>
    <x v="0"/>
  </r>
  <r>
    <n v="936"/>
    <x v="9"/>
    <x v="2"/>
    <x v="0"/>
    <x v="1"/>
    <n v="34"/>
    <n v="11.6"/>
    <n v="2556"/>
    <n v="4.8"/>
    <x v="4"/>
    <x v="2"/>
    <n v="8699"/>
    <n v="60291"/>
    <n v="50"/>
    <x v="25"/>
    <x v="0"/>
    <x v="1"/>
  </r>
  <r>
    <n v="937"/>
    <x v="7"/>
    <x v="3"/>
    <x v="0"/>
    <x v="3"/>
    <n v="15"/>
    <n v="10.4"/>
    <n v="2561"/>
    <n v="1.8"/>
    <x v="4"/>
    <x v="0"/>
    <n v="13991"/>
    <n v="25779"/>
    <n v="84"/>
    <x v="34"/>
    <x v="0"/>
    <x v="2"/>
  </r>
  <r>
    <n v="938"/>
    <x v="5"/>
    <x v="0"/>
    <x v="4"/>
    <x v="2"/>
    <n v="53"/>
    <n v="4"/>
    <n v="2416"/>
    <n v="3.5"/>
    <x v="4"/>
    <x v="3"/>
    <n v="9032"/>
    <n v="64020"/>
    <n v="79"/>
    <x v="138"/>
    <x v="3"/>
    <x v="1"/>
  </r>
  <r>
    <n v="939"/>
    <x v="7"/>
    <x v="1"/>
    <x v="1"/>
    <x v="4"/>
    <n v="29"/>
    <n v="5.3"/>
    <n v="2459"/>
    <n v="3.9"/>
    <x v="1"/>
    <x v="4"/>
    <n v="9954"/>
    <n v="28572"/>
    <n v="57"/>
    <x v="193"/>
    <x v="0"/>
    <x v="2"/>
  </r>
  <r>
    <n v="940"/>
    <x v="7"/>
    <x v="1"/>
    <x v="3"/>
    <x v="3"/>
    <n v="82"/>
    <n v="8.4"/>
    <n v="1685"/>
    <n v="1.6"/>
    <x v="5"/>
    <x v="4"/>
    <n v="3077"/>
    <n v="51391"/>
    <n v="95"/>
    <x v="317"/>
    <x v="0"/>
    <x v="0"/>
  </r>
  <r>
    <n v="941"/>
    <x v="7"/>
    <x v="4"/>
    <x v="2"/>
    <x v="2"/>
    <n v="28"/>
    <n v="8.4"/>
    <n v="1656"/>
    <n v="3.7"/>
    <x v="7"/>
    <x v="4"/>
    <n v="2130"/>
    <n v="65810"/>
    <n v="55"/>
    <x v="254"/>
    <x v="3"/>
    <x v="0"/>
  </r>
  <r>
    <n v="942"/>
    <x v="6"/>
    <x v="2"/>
    <x v="3"/>
    <x v="4"/>
    <n v="87"/>
    <n v="9.6999999999999993"/>
    <n v="2449"/>
    <n v="3"/>
    <x v="0"/>
    <x v="4"/>
    <n v="1828"/>
    <n v="70215"/>
    <n v="52"/>
    <x v="27"/>
    <x v="3"/>
    <x v="2"/>
  </r>
  <r>
    <n v="943"/>
    <x v="5"/>
    <x v="2"/>
    <x v="5"/>
    <x v="2"/>
    <n v="60"/>
    <n v="10.199999999999999"/>
    <n v="1411"/>
    <n v="1.7"/>
    <x v="3"/>
    <x v="4"/>
    <n v="9480"/>
    <n v="68575"/>
    <n v="72"/>
    <x v="194"/>
    <x v="0"/>
    <x v="0"/>
  </r>
  <r>
    <n v="944"/>
    <x v="8"/>
    <x v="2"/>
    <x v="1"/>
    <x v="1"/>
    <n v="13"/>
    <n v="10.7"/>
    <n v="904"/>
    <n v="4.5999999999999996"/>
    <x v="7"/>
    <x v="3"/>
    <n v="11141"/>
    <n v="85918"/>
    <n v="79"/>
    <x v="3"/>
    <x v="3"/>
    <x v="0"/>
  </r>
  <r>
    <n v="945"/>
    <x v="5"/>
    <x v="2"/>
    <x v="4"/>
    <x v="1"/>
    <n v="54"/>
    <n v="11.1"/>
    <n v="1344"/>
    <n v="1.8"/>
    <x v="0"/>
    <x v="1"/>
    <n v="7916"/>
    <n v="35737"/>
    <n v="75"/>
    <x v="49"/>
    <x v="3"/>
    <x v="2"/>
  </r>
  <r>
    <n v="946"/>
    <x v="5"/>
    <x v="1"/>
    <x v="1"/>
    <x v="0"/>
    <n v="20"/>
    <n v="7.2"/>
    <n v="1866"/>
    <n v="3.7"/>
    <x v="2"/>
    <x v="2"/>
    <n v="14530"/>
    <n v="119868"/>
    <n v="59"/>
    <x v="122"/>
    <x v="2"/>
    <x v="1"/>
  </r>
  <r>
    <n v="947"/>
    <x v="7"/>
    <x v="1"/>
    <x v="3"/>
    <x v="1"/>
    <n v="83"/>
    <n v="5.9"/>
    <n v="2173"/>
    <n v="3"/>
    <x v="5"/>
    <x v="4"/>
    <n v="3293"/>
    <n v="30810"/>
    <n v="66"/>
    <x v="29"/>
    <x v="2"/>
    <x v="1"/>
  </r>
  <r>
    <n v="948"/>
    <x v="6"/>
    <x v="3"/>
    <x v="2"/>
    <x v="1"/>
    <n v="47"/>
    <n v="3"/>
    <n v="2380"/>
    <n v="3.7"/>
    <x v="6"/>
    <x v="2"/>
    <n v="9933"/>
    <n v="96971"/>
    <n v="57"/>
    <x v="225"/>
    <x v="0"/>
    <x v="0"/>
  </r>
  <r>
    <n v="949"/>
    <x v="5"/>
    <x v="1"/>
    <x v="5"/>
    <x v="0"/>
    <n v="20"/>
    <n v="11"/>
    <n v="2073"/>
    <n v="4.5999999999999996"/>
    <x v="7"/>
    <x v="0"/>
    <n v="10190"/>
    <n v="60347"/>
    <n v="69"/>
    <x v="188"/>
    <x v="0"/>
    <x v="0"/>
  </r>
  <r>
    <n v="950"/>
    <x v="6"/>
    <x v="4"/>
    <x v="5"/>
    <x v="1"/>
    <n v="37"/>
    <n v="8.3000000000000007"/>
    <n v="1122"/>
    <n v="3.3"/>
    <x v="0"/>
    <x v="0"/>
    <n v="13606"/>
    <n v="67960"/>
    <n v="65"/>
    <x v="240"/>
    <x v="2"/>
    <x v="2"/>
  </r>
  <r>
    <n v="951"/>
    <x v="6"/>
    <x v="3"/>
    <x v="5"/>
    <x v="0"/>
    <n v="58"/>
    <n v="6.9"/>
    <n v="2952"/>
    <n v="4.5999999999999996"/>
    <x v="6"/>
    <x v="4"/>
    <n v="8048"/>
    <n v="72440"/>
    <n v="84"/>
    <x v="282"/>
    <x v="2"/>
    <x v="1"/>
  </r>
  <r>
    <n v="952"/>
    <x v="5"/>
    <x v="3"/>
    <x v="0"/>
    <x v="1"/>
    <n v="45"/>
    <n v="3.2"/>
    <n v="2647"/>
    <n v="3.8"/>
    <x v="3"/>
    <x v="1"/>
    <n v="9253"/>
    <n v="82227"/>
    <n v="92"/>
    <x v="28"/>
    <x v="1"/>
    <x v="1"/>
  </r>
  <r>
    <n v="953"/>
    <x v="6"/>
    <x v="4"/>
    <x v="5"/>
    <x v="1"/>
    <n v="55"/>
    <n v="5"/>
    <n v="2985"/>
    <n v="2.1"/>
    <x v="5"/>
    <x v="1"/>
    <n v="13403"/>
    <n v="83067"/>
    <n v="65"/>
    <x v="49"/>
    <x v="1"/>
    <x v="1"/>
  </r>
  <r>
    <n v="954"/>
    <x v="5"/>
    <x v="2"/>
    <x v="0"/>
    <x v="2"/>
    <n v="63"/>
    <n v="11.2"/>
    <n v="985"/>
    <n v="4.9000000000000004"/>
    <x v="3"/>
    <x v="4"/>
    <n v="9740"/>
    <n v="21145"/>
    <n v="98"/>
    <x v="225"/>
    <x v="2"/>
    <x v="0"/>
  </r>
  <r>
    <n v="955"/>
    <x v="6"/>
    <x v="2"/>
    <x v="5"/>
    <x v="2"/>
    <n v="37"/>
    <n v="6.5"/>
    <n v="1128"/>
    <n v="4.8"/>
    <x v="7"/>
    <x v="1"/>
    <n v="7783"/>
    <n v="103200"/>
    <n v="76"/>
    <x v="152"/>
    <x v="2"/>
    <x v="1"/>
  </r>
  <r>
    <n v="956"/>
    <x v="5"/>
    <x v="4"/>
    <x v="4"/>
    <x v="1"/>
    <n v="67"/>
    <n v="4.5999999999999996"/>
    <n v="2329"/>
    <n v="4.3"/>
    <x v="4"/>
    <x v="1"/>
    <n v="11419"/>
    <n v="44810"/>
    <n v="56"/>
    <x v="213"/>
    <x v="0"/>
    <x v="0"/>
  </r>
  <r>
    <n v="957"/>
    <x v="9"/>
    <x v="2"/>
    <x v="5"/>
    <x v="3"/>
    <n v="24"/>
    <n v="8.6999999999999993"/>
    <n v="903"/>
    <n v="3.6"/>
    <x v="1"/>
    <x v="4"/>
    <n v="1264"/>
    <n v="114264"/>
    <n v="51"/>
    <x v="9"/>
    <x v="0"/>
    <x v="1"/>
  </r>
  <r>
    <n v="958"/>
    <x v="6"/>
    <x v="1"/>
    <x v="5"/>
    <x v="2"/>
    <n v="29"/>
    <n v="11.3"/>
    <n v="1541"/>
    <n v="1.7"/>
    <x v="4"/>
    <x v="3"/>
    <n v="13230"/>
    <n v="109006"/>
    <n v="53"/>
    <x v="234"/>
    <x v="2"/>
    <x v="2"/>
  </r>
  <r>
    <n v="959"/>
    <x v="5"/>
    <x v="2"/>
    <x v="2"/>
    <x v="3"/>
    <n v="29"/>
    <n v="3.2"/>
    <n v="2535"/>
    <n v="2.6"/>
    <x v="7"/>
    <x v="1"/>
    <n v="8826"/>
    <n v="119380"/>
    <n v="95"/>
    <x v="318"/>
    <x v="0"/>
    <x v="2"/>
  </r>
  <r>
    <n v="960"/>
    <x v="6"/>
    <x v="4"/>
    <x v="4"/>
    <x v="4"/>
    <n v="51"/>
    <n v="5.7"/>
    <n v="1914"/>
    <n v="3.3"/>
    <x v="6"/>
    <x v="0"/>
    <n v="12820"/>
    <n v="97408"/>
    <n v="97"/>
    <x v="158"/>
    <x v="0"/>
    <x v="0"/>
  </r>
  <r>
    <n v="961"/>
    <x v="6"/>
    <x v="3"/>
    <x v="2"/>
    <x v="4"/>
    <n v="14"/>
    <n v="3.4"/>
    <n v="1881"/>
    <n v="2.5"/>
    <x v="3"/>
    <x v="0"/>
    <n v="9103"/>
    <n v="33355"/>
    <n v="59"/>
    <x v="197"/>
    <x v="2"/>
    <x v="2"/>
  </r>
  <r>
    <n v="962"/>
    <x v="7"/>
    <x v="1"/>
    <x v="2"/>
    <x v="2"/>
    <n v="59"/>
    <n v="4.2"/>
    <n v="966"/>
    <n v="3.1"/>
    <x v="6"/>
    <x v="0"/>
    <n v="7532"/>
    <n v="49016"/>
    <n v="70"/>
    <x v="44"/>
    <x v="1"/>
    <x v="1"/>
  </r>
  <r>
    <n v="963"/>
    <x v="9"/>
    <x v="3"/>
    <x v="5"/>
    <x v="4"/>
    <n v="61"/>
    <n v="4.0999999999999996"/>
    <n v="2673"/>
    <n v="3.1"/>
    <x v="2"/>
    <x v="0"/>
    <n v="8742"/>
    <n v="52827"/>
    <n v="98"/>
    <x v="120"/>
    <x v="1"/>
    <x v="2"/>
  </r>
  <r>
    <n v="964"/>
    <x v="7"/>
    <x v="0"/>
    <x v="0"/>
    <x v="2"/>
    <n v="42"/>
    <n v="3.2"/>
    <n v="2323"/>
    <n v="4.8"/>
    <x v="1"/>
    <x v="1"/>
    <n v="1249"/>
    <n v="93759"/>
    <n v="74"/>
    <x v="224"/>
    <x v="0"/>
    <x v="2"/>
  </r>
  <r>
    <n v="965"/>
    <x v="7"/>
    <x v="0"/>
    <x v="2"/>
    <x v="2"/>
    <n v="74"/>
    <n v="6.5"/>
    <n v="2566"/>
    <n v="4.5"/>
    <x v="5"/>
    <x v="0"/>
    <n v="9603"/>
    <n v="111310"/>
    <n v="86"/>
    <x v="92"/>
    <x v="1"/>
    <x v="1"/>
  </r>
  <r>
    <n v="966"/>
    <x v="9"/>
    <x v="1"/>
    <x v="2"/>
    <x v="2"/>
    <n v="52"/>
    <n v="8.4"/>
    <n v="2596"/>
    <n v="2.8"/>
    <x v="3"/>
    <x v="1"/>
    <n v="2030"/>
    <n v="98798"/>
    <n v="97"/>
    <x v="99"/>
    <x v="3"/>
    <x v="2"/>
  </r>
  <r>
    <n v="967"/>
    <x v="9"/>
    <x v="1"/>
    <x v="5"/>
    <x v="2"/>
    <n v="84"/>
    <n v="6.4"/>
    <n v="1208"/>
    <n v="1.8"/>
    <x v="3"/>
    <x v="4"/>
    <n v="3779"/>
    <n v="112709"/>
    <n v="56"/>
    <x v="266"/>
    <x v="2"/>
    <x v="2"/>
  </r>
  <r>
    <n v="968"/>
    <x v="7"/>
    <x v="3"/>
    <x v="5"/>
    <x v="0"/>
    <n v="71"/>
    <n v="7.9"/>
    <n v="1414"/>
    <n v="2.2999999999999998"/>
    <x v="5"/>
    <x v="4"/>
    <n v="6018"/>
    <n v="73901"/>
    <n v="87"/>
    <x v="176"/>
    <x v="2"/>
    <x v="0"/>
  </r>
  <r>
    <n v="969"/>
    <x v="7"/>
    <x v="3"/>
    <x v="3"/>
    <x v="4"/>
    <n v="10"/>
    <n v="9.1"/>
    <n v="1457"/>
    <n v="4.5999999999999996"/>
    <x v="1"/>
    <x v="0"/>
    <n v="7674"/>
    <n v="49757"/>
    <n v="51"/>
    <x v="148"/>
    <x v="2"/>
    <x v="2"/>
  </r>
  <r>
    <n v="970"/>
    <x v="9"/>
    <x v="2"/>
    <x v="2"/>
    <x v="3"/>
    <n v="44"/>
    <n v="10.7"/>
    <n v="2142"/>
    <n v="4.8"/>
    <x v="2"/>
    <x v="0"/>
    <n v="6694"/>
    <n v="84814"/>
    <n v="95"/>
    <x v="7"/>
    <x v="1"/>
    <x v="1"/>
  </r>
  <r>
    <n v="971"/>
    <x v="5"/>
    <x v="0"/>
    <x v="3"/>
    <x v="1"/>
    <n v="75"/>
    <n v="7.2"/>
    <n v="2700"/>
    <n v="4.4000000000000004"/>
    <x v="4"/>
    <x v="0"/>
    <n v="7092"/>
    <n v="44942"/>
    <n v="55"/>
    <x v="236"/>
    <x v="3"/>
    <x v="0"/>
  </r>
  <r>
    <n v="972"/>
    <x v="9"/>
    <x v="0"/>
    <x v="0"/>
    <x v="4"/>
    <n v="82"/>
    <n v="5.9"/>
    <n v="1201"/>
    <n v="3.4"/>
    <x v="7"/>
    <x v="0"/>
    <n v="7254"/>
    <n v="117474"/>
    <n v="68"/>
    <x v="242"/>
    <x v="3"/>
    <x v="1"/>
  </r>
  <r>
    <n v="973"/>
    <x v="8"/>
    <x v="1"/>
    <x v="3"/>
    <x v="2"/>
    <n v="64"/>
    <n v="9.8000000000000007"/>
    <n v="1941"/>
    <n v="3.5"/>
    <x v="4"/>
    <x v="0"/>
    <n v="10117"/>
    <n v="58417"/>
    <n v="60"/>
    <x v="178"/>
    <x v="1"/>
    <x v="1"/>
  </r>
  <r>
    <n v="974"/>
    <x v="7"/>
    <x v="4"/>
    <x v="1"/>
    <x v="4"/>
    <n v="23"/>
    <n v="11.9"/>
    <n v="1052"/>
    <n v="2"/>
    <x v="4"/>
    <x v="0"/>
    <n v="7085"/>
    <n v="115065"/>
    <n v="82"/>
    <x v="1"/>
    <x v="1"/>
    <x v="2"/>
  </r>
  <r>
    <n v="975"/>
    <x v="6"/>
    <x v="1"/>
    <x v="5"/>
    <x v="3"/>
    <n v="63"/>
    <n v="8.5"/>
    <n v="2139"/>
    <n v="2.2000000000000002"/>
    <x v="3"/>
    <x v="1"/>
    <n v="7892"/>
    <n v="109615"/>
    <n v="65"/>
    <x v="203"/>
    <x v="1"/>
    <x v="0"/>
  </r>
  <r>
    <n v="976"/>
    <x v="8"/>
    <x v="0"/>
    <x v="2"/>
    <x v="1"/>
    <n v="80"/>
    <n v="12"/>
    <n v="2229"/>
    <n v="1.8"/>
    <x v="3"/>
    <x v="3"/>
    <n v="6553"/>
    <n v="103125"/>
    <n v="89"/>
    <x v="39"/>
    <x v="3"/>
    <x v="0"/>
  </r>
  <r>
    <n v="977"/>
    <x v="8"/>
    <x v="3"/>
    <x v="5"/>
    <x v="1"/>
    <n v="34"/>
    <n v="8.6"/>
    <n v="2608"/>
    <n v="2.2999999999999998"/>
    <x v="2"/>
    <x v="1"/>
    <n v="10841"/>
    <n v="91847"/>
    <n v="73"/>
    <x v="44"/>
    <x v="3"/>
    <x v="0"/>
  </r>
  <r>
    <n v="978"/>
    <x v="5"/>
    <x v="1"/>
    <x v="4"/>
    <x v="1"/>
    <n v="61"/>
    <n v="10.4"/>
    <n v="1864"/>
    <n v="4.5"/>
    <x v="1"/>
    <x v="1"/>
    <n v="7213"/>
    <n v="27946"/>
    <n v="52"/>
    <x v="149"/>
    <x v="1"/>
    <x v="2"/>
  </r>
  <r>
    <n v="979"/>
    <x v="5"/>
    <x v="2"/>
    <x v="2"/>
    <x v="4"/>
    <n v="80"/>
    <n v="10"/>
    <n v="2247"/>
    <n v="3.8"/>
    <x v="5"/>
    <x v="2"/>
    <n v="6598"/>
    <n v="112329"/>
    <n v="95"/>
    <x v="130"/>
    <x v="3"/>
    <x v="2"/>
  </r>
  <r>
    <n v="980"/>
    <x v="8"/>
    <x v="1"/>
    <x v="4"/>
    <x v="1"/>
    <n v="51"/>
    <n v="4.5"/>
    <n v="1565"/>
    <n v="3.4"/>
    <x v="0"/>
    <x v="1"/>
    <n v="14734"/>
    <n v="91740"/>
    <n v="57"/>
    <x v="89"/>
    <x v="1"/>
    <x v="1"/>
  </r>
  <r>
    <n v="981"/>
    <x v="9"/>
    <x v="1"/>
    <x v="4"/>
    <x v="1"/>
    <n v="57"/>
    <n v="9.4"/>
    <n v="1257"/>
    <n v="3.6"/>
    <x v="6"/>
    <x v="1"/>
    <n v="9583"/>
    <n v="62184"/>
    <n v="77"/>
    <x v="153"/>
    <x v="3"/>
    <x v="0"/>
  </r>
  <r>
    <n v="982"/>
    <x v="6"/>
    <x v="4"/>
    <x v="4"/>
    <x v="4"/>
    <n v="18"/>
    <n v="8.1"/>
    <n v="2207"/>
    <n v="3.1"/>
    <x v="4"/>
    <x v="0"/>
    <n v="9910"/>
    <n v="58739"/>
    <n v="70"/>
    <x v="62"/>
    <x v="1"/>
    <x v="0"/>
  </r>
  <r>
    <n v="983"/>
    <x v="5"/>
    <x v="2"/>
    <x v="0"/>
    <x v="3"/>
    <n v="36"/>
    <n v="8.8000000000000007"/>
    <n v="880"/>
    <n v="4.4000000000000004"/>
    <x v="5"/>
    <x v="4"/>
    <n v="7628"/>
    <n v="91028"/>
    <n v="98"/>
    <x v="313"/>
    <x v="2"/>
    <x v="0"/>
  </r>
  <r>
    <n v="984"/>
    <x v="9"/>
    <x v="4"/>
    <x v="2"/>
    <x v="0"/>
    <n v="19"/>
    <n v="6"/>
    <n v="1227"/>
    <n v="4.9000000000000004"/>
    <x v="0"/>
    <x v="2"/>
    <n v="5725"/>
    <n v="61798"/>
    <n v="54"/>
    <x v="134"/>
    <x v="2"/>
    <x v="0"/>
  </r>
  <r>
    <n v="985"/>
    <x v="7"/>
    <x v="3"/>
    <x v="2"/>
    <x v="2"/>
    <n v="68"/>
    <n v="4.0999999999999996"/>
    <n v="1854"/>
    <n v="2.8"/>
    <x v="7"/>
    <x v="3"/>
    <n v="8796"/>
    <n v="99287"/>
    <n v="52"/>
    <x v="291"/>
    <x v="1"/>
    <x v="2"/>
  </r>
  <r>
    <n v="986"/>
    <x v="9"/>
    <x v="4"/>
    <x v="5"/>
    <x v="4"/>
    <n v="23"/>
    <n v="6.8"/>
    <n v="2745"/>
    <n v="3.2"/>
    <x v="4"/>
    <x v="3"/>
    <n v="4375"/>
    <n v="60051"/>
    <n v="79"/>
    <x v="143"/>
    <x v="3"/>
    <x v="1"/>
  </r>
  <r>
    <n v="987"/>
    <x v="9"/>
    <x v="0"/>
    <x v="0"/>
    <x v="2"/>
    <n v="73"/>
    <n v="3.6"/>
    <n v="2694"/>
    <n v="3.6"/>
    <x v="1"/>
    <x v="2"/>
    <n v="1226"/>
    <n v="62246"/>
    <n v="57"/>
    <x v="201"/>
    <x v="1"/>
    <x v="2"/>
  </r>
  <r>
    <n v="988"/>
    <x v="9"/>
    <x v="2"/>
    <x v="0"/>
    <x v="4"/>
    <n v="11"/>
    <n v="8.1"/>
    <n v="2465"/>
    <n v="4.5"/>
    <x v="7"/>
    <x v="0"/>
    <n v="4521"/>
    <n v="32929"/>
    <n v="53"/>
    <x v="276"/>
    <x v="0"/>
    <x v="1"/>
  </r>
  <r>
    <n v="989"/>
    <x v="8"/>
    <x v="3"/>
    <x v="5"/>
    <x v="0"/>
    <n v="78"/>
    <n v="8.9"/>
    <n v="1402"/>
    <n v="3.5"/>
    <x v="6"/>
    <x v="3"/>
    <n v="8080"/>
    <n v="47890"/>
    <n v="68"/>
    <x v="124"/>
    <x v="3"/>
    <x v="0"/>
  </r>
  <r>
    <n v="990"/>
    <x v="9"/>
    <x v="3"/>
    <x v="5"/>
    <x v="3"/>
    <n v="29"/>
    <n v="6.9"/>
    <n v="842"/>
    <n v="2.8"/>
    <x v="2"/>
    <x v="3"/>
    <n v="12500"/>
    <n v="101341"/>
    <n v="75"/>
    <x v="132"/>
    <x v="3"/>
    <x v="2"/>
  </r>
  <r>
    <n v="991"/>
    <x v="6"/>
    <x v="4"/>
    <x v="3"/>
    <x v="4"/>
    <n v="39"/>
    <n v="9.1"/>
    <n v="2275"/>
    <n v="3.2"/>
    <x v="3"/>
    <x v="2"/>
    <n v="4012"/>
    <n v="91487"/>
    <n v="97"/>
    <x v="26"/>
    <x v="1"/>
    <x v="2"/>
  </r>
  <r>
    <n v="992"/>
    <x v="6"/>
    <x v="3"/>
    <x v="5"/>
    <x v="2"/>
    <n v="51"/>
    <n v="4.9000000000000004"/>
    <n v="906"/>
    <n v="5"/>
    <x v="3"/>
    <x v="4"/>
    <n v="8138"/>
    <n v="72999"/>
    <n v="85"/>
    <x v="205"/>
    <x v="1"/>
    <x v="0"/>
  </r>
  <r>
    <n v="993"/>
    <x v="6"/>
    <x v="0"/>
    <x v="2"/>
    <x v="3"/>
    <n v="65"/>
    <n v="10.5"/>
    <n v="840"/>
    <n v="2.4"/>
    <x v="2"/>
    <x v="2"/>
    <n v="12879"/>
    <n v="85651"/>
    <n v="89"/>
    <x v="83"/>
    <x v="0"/>
    <x v="1"/>
  </r>
  <r>
    <n v="994"/>
    <x v="6"/>
    <x v="1"/>
    <x v="1"/>
    <x v="3"/>
    <n v="47"/>
    <n v="3.5"/>
    <n v="2921"/>
    <n v="3.8"/>
    <x v="6"/>
    <x v="0"/>
    <n v="9463"/>
    <n v="74665"/>
    <n v="97"/>
    <x v="225"/>
    <x v="1"/>
    <x v="0"/>
  </r>
  <r>
    <n v="995"/>
    <x v="8"/>
    <x v="0"/>
    <x v="1"/>
    <x v="2"/>
    <n v="45"/>
    <n v="9.5"/>
    <n v="2121"/>
    <n v="3.9"/>
    <x v="6"/>
    <x v="2"/>
    <n v="11607"/>
    <n v="104040"/>
    <n v="73"/>
    <x v="147"/>
    <x v="0"/>
    <x v="1"/>
  </r>
  <r>
    <n v="996"/>
    <x v="9"/>
    <x v="0"/>
    <x v="2"/>
    <x v="0"/>
    <n v="74"/>
    <n v="7.4"/>
    <n v="2445"/>
    <n v="4.0999999999999996"/>
    <x v="6"/>
    <x v="2"/>
    <n v="9534"/>
    <n v="84406"/>
    <n v="59"/>
    <x v="21"/>
    <x v="3"/>
    <x v="0"/>
  </r>
  <r>
    <n v="997"/>
    <x v="9"/>
    <x v="1"/>
    <x v="1"/>
    <x v="2"/>
    <n v="77"/>
    <n v="6.7"/>
    <n v="2653"/>
    <n v="4.5"/>
    <x v="3"/>
    <x v="3"/>
    <n v="8760"/>
    <n v="76045"/>
    <n v="52"/>
    <x v="20"/>
    <x v="1"/>
    <x v="1"/>
  </r>
  <r>
    <n v="998"/>
    <x v="8"/>
    <x v="1"/>
    <x v="1"/>
    <x v="3"/>
    <n v="43"/>
    <n v="4.7"/>
    <n v="1529"/>
    <n v="3"/>
    <x v="7"/>
    <x v="2"/>
    <n v="8517"/>
    <n v="97921"/>
    <n v="56"/>
    <x v="11"/>
    <x v="2"/>
    <x v="2"/>
  </r>
  <r>
    <n v="999"/>
    <x v="5"/>
    <x v="2"/>
    <x v="1"/>
    <x v="0"/>
    <n v="21"/>
    <n v="7"/>
    <n v="1115"/>
    <n v="2.2000000000000002"/>
    <x v="1"/>
    <x v="0"/>
    <n v="6237"/>
    <n v="53215"/>
    <n v="56"/>
    <x v="86"/>
    <x v="2"/>
    <x v="0"/>
  </r>
  <r>
    <n v="1000"/>
    <x v="7"/>
    <x v="3"/>
    <x v="0"/>
    <x v="2"/>
    <n v="58"/>
    <n v="4.4000000000000004"/>
    <n v="2207"/>
    <n v="3.2"/>
    <x v="1"/>
    <x v="0"/>
    <n v="3441"/>
    <n v="26437"/>
    <n v="93"/>
    <x v="64"/>
    <x v="1"/>
    <x v="0"/>
  </r>
  <r>
    <n v="1001"/>
    <x v="5"/>
    <x v="2"/>
    <x v="1"/>
    <x v="2"/>
    <n v="47"/>
    <n v="8.6999999999999993"/>
    <n v="990"/>
    <n v="1.5"/>
    <x v="5"/>
    <x v="0"/>
    <n v="1757"/>
    <n v="89918"/>
    <n v="78"/>
    <x v="155"/>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3447BE-F78C-47A8-B061-35D8E2D04C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A3:A4"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Items count="1">
    <i/>
  </rowItems>
  <colItems count="1">
    <i/>
  </colItems>
  <dataFields count="1">
    <dataField name="Sum of Impressions" fld="12"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A6CB5A-4E51-419A-822C-7A8B855B09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C3:D4" firstHeaderRow="0"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Items count="1">
    <i/>
  </rowItems>
  <colFields count="1">
    <field x="-2"/>
  </colFields>
  <colItems count="2">
    <i>
      <x/>
    </i>
    <i i="1">
      <x v="1"/>
    </i>
  </colItems>
  <dataFields count="2">
    <dataField name="Sum of Clicks" fld="11" baseField="0" baseItem="0" numFmtId="164"/>
    <dataField name="Sum of CTR" fld="19" baseField="0" baseItem="0" numFmtId="2"/>
  </dataFields>
  <formats count="2">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2B1CA7-4B73-413C-8C98-39F2A7A1B2D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rowHeaderCaption="campain-type" fieldListSortAscending="1">
  <location ref="I5:K11" firstHeaderRow="0" firstDataRow="1" firstDataCol="1"/>
  <pivotFields count="20">
    <pivotField showAll="0"/>
    <pivotField showAll="0"/>
    <pivotField axis="axisRow" showAll="0">
      <items count="6">
        <item x="2"/>
        <item x="0"/>
        <item x="1"/>
        <item x="3"/>
        <item x="4"/>
        <item t="default"/>
      </items>
    </pivotField>
    <pivotField showAll="0">
      <items count="7">
        <item x="5"/>
        <item x="4"/>
        <item x="0"/>
        <item x="2"/>
        <item x="3"/>
        <item x="1"/>
        <item t="default"/>
      </items>
    </pivotField>
    <pivotField showAll="0"/>
    <pivotField showAll="0"/>
    <pivotField showAll="0"/>
    <pivotField dataField="1" showAll="0"/>
    <pivotField dataField="1" showAll="0"/>
    <pivotField showAll="0"/>
    <pivotField showAll="0"/>
    <pivotField showAll="0"/>
    <pivotField showAll="0"/>
    <pivotField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2"/>
  </rowFields>
  <rowItems count="6">
    <i>
      <x/>
    </i>
    <i>
      <x v="1"/>
    </i>
    <i>
      <x v="2"/>
    </i>
    <i>
      <x v="3"/>
    </i>
    <i>
      <x v="4"/>
    </i>
    <i t="grand">
      <x/>
    </i>
  </rowItems>
  <colFields count="1">
    <field x="-2"/>
  </colFields>
  <colItems count="2">
    <i>
      <x/>
    </i>
    <i i="1">
      <x v="1"/>
    </i>
  </colItems>
  <dataFields count="2">
    <dataField name="Sum of Acquisition_Cost" fld="7" baseField="2" baseItem="0" numFmtId="165"/>
    <dataField name="Average of ROI" fld="8" subtotal="average" baseField="2" baseItem="0" numFmtId="2"/>
  </dataFields>
  <formats count="2">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s>
  <chartFormats count="2">
    <chartFormat chart="48" format="4" series="1">
      <pivotArea type="data" outline="0" fieldPosition="0">
        <references count="1">
          <reference field="4294967294" count="1" selected="0">
            <x v="0"/>
          </reference>
        </references>
      </pivotArea>
    </chartFormat>
    <chartFormat chart="4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3387E1-A983-4C06-9EC8-07139EEBE935}"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6" rowHeaderCaption="Customer_segment" fieldListSortAscending="1">
  <location ref="M23:N29" firstHeaderRow="1" firstDataRow="1" firstDataCol="1"/>
  <pivotFields count="20">
    <pivotField showAll="0"/>
    <pivotField showAll="0"/>
    <pivotField showAll="0">
      <items count="6">
        <item x="2"/>
        <item x="0"/>
        <item x="1"/>
        <item x="3"/>
        <item x="4"/>
        <item t="default"/>
      </items>
    </pivotField>
    <pivotField showAll="0">
      <items count="7">
        <item x="5"/>
        <item x="4"/>
        <item x="0"/>
        <item x="2"/>
        <item x="3"/>
        <item x="1"/>
        <item t="default"/>
      </items>
    </pivotField>
    <pivotField axis="axisRow" showAll="0">
      <items count="6">
        <item x="1"/>
        <item x="3"/>
        <item x="0"/>
        <item x="2"/>
        <item x="4"/>
        <item t="default"/>
      </items>
    </pivotField>
    <pivotField showAll="0"/>
    <pivotField showAll="0"/>
    <pivotField showAll="0"/>
    <pivotField dataField="1" showAll="0"/>
    <pivotField showAll="0"/>
    <pivotField showAll="0"/>
    <pivotField showAll="0"/>
    <pivotField showAll="0"/>
    <pivotField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4"/>
  </rowFields>
  <rowItems count="6">
    <i>
      <x/>
    </i>
    <i>
      <x v="1"/>
    </i>
    <i>
      <x v="2"/>
    </i>
    <i>
      <x v="3"/>
    </i>
    <i>
      <x v="4"/>
    </i>
    <i t="grand">
      <x/>
    </i>
  </rowItems>
  <colItems count="1">
    <i/>
  </colItems>
  <dataFields count="1">
    <dataField name="Average of ROI" fld="8" subtotal="average" baseField="2" baseItem="0" numFmtId="2"/>
  </dataFields>
  <formats count="1">
    <format dxfId="5">
      <pivotArea outline="0" collapsedLevelsAreSubtotals="1" fieldPosition="0"/>
    </format>
  </formats>
  <chartFormats count="7">
    <chartFormat chart="63" format="2" series="1">
      <pivotArea type="data" outline="0" fieldPosition="0">
        <references count="1">
          <reference field="4294967294" count="1" selected="0">
            <x v="0"/>
          </reference>
        </references>
      </pivotArea>
    </chartFormat>
    <chartFormat chart="71" format="7" series="1">
      <pivotArea type="data" outline="0" fieldPosition="0">
        <references count="1">
          <reference field="4294967294" count="1" selected="0">
            <x v="0"/>
          </reference>
        </references>
      </pivotArea>
    </chartFormat>
    <chartFormat chart="71" format="8">
      <pivotArea type="data" outline="0" fieldPosition="0">
        <references count="2">
          <reference field="4294967294" count="1" selected="0">
            <x v="0"/>
          </reference>
          <reference field="4" count="1" selected="0">
            <x v="0"/>
          </reference>
        </references>
      </pivotArea>
    </chartFormat>
    <chartFormat chart="71" format="9">
      <pivotArea type="data" outline="0" fieldPosition="0">
        <references count="2">
          <reference field="4294967294" count="1" selected="0">
            <x v="0"/>
          </reference>
          <reference field="4" count="1" selected="0">
            <x v="1"/>
          </reference>
        </references>
      </pivotArea>
    </chartFormat>
    <chartFormat chart="71" format="10">
      <pivotArea type="data" outline="0" fieldPosition="0">
        <references count="2">
          <reference field="4294967294" count="1" selected="0">
            <x v="0"/>
          </reference>
          <reference field="4" count="1" selected="0">
            <x v="2"/>
          </reference>
        </references>
      </pivotArea>
    </chartFormat>
    <chartFormat chart="71" format="11">
      <pivotArea type="data" outline="0" fieldPosition="0">
        <references count="2">
          <reference field="4294967294" count="1" selected="0">
            <x v="0"/>
          </reference>
          <reference field="4" count="1" selected="0">
            <x v="3"/>
          </reference>
        </references>
      </pivotArea>
    </chartFormat>
    <chartFormat chart="71"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615A0F-3E5B-4A0F-B145-6E87854A9C55}"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rowHeaderCaption="channel used" fieldListSortAscending="1">
  <location ref="P22:R29" firstHeaderRow="0" firstDataRow="1" firstDataCol="1"/>
  <pivotFields count="20">
    <pivotField showAll="0"/>
    <pivotField showAll="0"/>
    <pivotField showAll="0">
      <items count="6">
        <item x="2"/>
        <item x="0"/>
        <item x="1"/>
        <item x="3"/>
        <item x="4"/>
        <item t="default"/>
      </items>
    </pivotField>
    <pivotField axis="axisRow" showAll="0">
      <items count="7">
        <item x="5"/>
        <item x="4"/>
        <item x="0"/>
        <item x="2"/>
        <item x="3"/>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3"/>
  </rowFields>
  <rowItems count="7">
    <i>
      <x/>
    </i>
    <i>
      <x v="1"/>
    </i>
    <i>
      <x v="2"/>
    </i>
    <i>
      <x v="3"/>
    </i>
    <i>
      <x v="4"/>
    </i>
    <i>
      <x v="5"/>
    </i>
    <i t="grand">
      <x/>
    </i>
  </rowItems>
  <colFields count="1">
    <field x="-2"/>
  </colFields>
  <colItems count="2">
    <i>
      <x/>
    </i>
    <i i="1">
      <x v="1"/>
    </i>
  </colItems>
  <dataFields count="2">
    <dataField name="Sum of Impressions" fld="12" baseField="0" baseItem="0"/>
    <dataField name="Sum of Clicks" fld="11" baseField="0" baseItem="0"/>
  </dataFields>
  <formats count="2">
    <format dxfId="7">
      <pivotArea outline="0" collapsedLevelsAreSubtotals="1" fieldPosition="0"/>
    </format>
    <format dxfId="6">
      <pivotArea collapsedLevelsAreSubtotals="1" fieldPosition="0">
        <references count="2">
          <reference field="4294967294" count="1" selected="0">
            <x v="0"/>
          </reference>
          <reference field="3" count="0"/>
        </references>
      </pivotArea>
    </format>
  </formats>
  <chartFormats count="2">
    <chartFormat chart="63" format="4" series="1">
      <pivotArea type="data" outline="0" fieldPosition="0">
        <references count="1">
          <reference field="4294967294" count="1" selected="0">
            <x v="0"/>
          </reference>
        </references>
      </pivotArea>
    </chartFormat>
    <chartFormat chart="6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38CA9F-573E-4992-A981-3556F0DD7F12}"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rowHeaderCaption="campain-type" fieldListSortAscending="1">
  <location ref="M5:N11" firstHeaderRow="1" firstDataRow="1" firstDataCol="1"/>
  <pivotFields count="20">
    <pivotField showAll="0"/>
    <pivotField showAll="0"/>
    <pivotField axis="axisRow" showAll="0">
      <items count="6">
        <item x="2"/>
        <item x="0"/>
        <item x="1"/>
        <item x="3"/>
        <item x="4"/>
        <item t="default"/>
      </items>
    </pivotField>
    <pivotField showAll="0">
      <items count="7">
        <item x="5"/>
        <item x="4"/>
        <item x="0"/>
        <item x="2"/>
        <item x="3"/>
        <item x="1"/>
        <item t="default"/>
      </items>
    </pivotField>
    <pivotField showAll="0"/>
    <pivotField showAll="0"/>
    <pivotField dataField="1" showAll="0"/>
    <pivotField showAll="0"/>
    <pivotField showAll="0"/>
    <pivotField showAll="0"/>
    <pivotField showAll="0"/>
    <pivotField showAll="0"/>
    <pivotField showAll="0"/>
    <pivotField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2"/>
  </rowFields>
  <rowItems count="6">
    <i>
      <x/>
    </i>
    <i>
      <x v="1"/>
    </i>
    <i>
      <x v="2"/>
    </i>
    <i>
      <x v="3"/>
    </i>
    <i>
      <x v="4"/>
    </i>
    <i t="grand">
      <x/>
    </i>
  </rowItems>
  <colItems count="1">
    <i/>
  </colItems>
  <dataFields count="1">
    <dataField name="Average of Conversion_Rate" fld="6" subtotal="average" baseField="2" baseItem="0" numFmtId="2"/>
  </dataFields>
  <formats count="1">
    <format dxfId="8">
      <pivotArea outline="0" collapsedLevelsAreSubtotals="1" fieldPosition="0"/>
    </format>
  </formats>
  <chartFormats count="6">
    <chartFormat chart="60" format="7" series="1">
      <pivotArea type="data" outline="0" fieldPosition="0">
        <references count="1">
          <reference field="4294967294" count="1" selected="0">
            <x v="0"/>
          </reference>
        </references>
      </pivotArea>
    </chartFormat>
    <chartFormat chart="60" format="8">
      <pivotArea type="data" outline="0" fieldPosition="0">
        <references count="2">
          <reference field="4294967294" count="1" selected="0">
            <x v="0"/>
          </reference>
          <reference field="2" count="1" selected="0">
            <x v="0"/>
          </reference>
        </references>
      </pivotArea>
    </chartFormat>
    <chartFormat chart="60" format="9">
      <pivotArea type="data" outline="0" fieldPosition="0">
        <references count="2">
          <reference field="4294967294" count="1" selected="0">
            <x v="0"/>
          </reference>
          <reference field="2" count="1" selected="0">
            <x v="1"/>
          </reference>
        </references>
      </pivotArea>
    </chartFormat>
    <chartFormat chart="60" format="10">
      <pivotArea type="data" outline="0" fieldPosition="0">
        <references count="2">
          <reference field="4294967294" count="1" selected="0">
            <x v="0"/>
          </reference>
          <reference field="2" count="1" selected="0">
            <x v="2"/>
          </reference>
        </references>
      </pivotArea>
    </chartFormat>
    <chartFormat chart="60" format="11">
      <pivotArea type="data" outline="0" fieldPosition="0">
        <references count="2">
          <reference field="4294967294" count="1" selected="0">
            <x v="0"/>
          </reference>
          <reference field="2" count="1" selected="0">
            <x v="3"/>
          </reference>
        </references>
      </pivotArea>
    </chartFormat>
    <chartFormat chart="60"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67351C-BB54-430C-BD02-461F72E56D96}"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4" rowHeaderCaption="channel used" fieldListSortAscending="1">
  <location ref="T14:U20" firstHeaderRow="1" firstDataRow="1" firstDataCol="1"/>
  <pivotFields count="20">
    <pivotField showAll="0"/>
    <pivotField showAll="0"/>
    <pivotField showAll="0">
      <items count="6">
        <item x="2"/>
        <item x="0"/>
        <item x="1"/>
        <item x="3"/>
        <item x="4"/>
        <item t="default"/>
      </items>
    </pivotField>
    <pivotField showAll="0">
      <items count="7">
        <item x="5"/>
        <item x="4"/>
        <item x="0"/>
        <item x="2"/>
        <item x="3"/>
        <item x="1"/>
        <item t="default"/>
      </items>
    </pivotField>
    <pivotField axis="axisRow" showAll="0">
      <items count="6">
        <item x="1"/>
        <item x="3"/>
        <item x="0"/>
        <item x="2"/>
        <item x="4"/>
        <item t="default"/>
      </items>
    </pivotField>
    <pivotField showAll="0"/>
    <pivotField showAll="0"/>
    <pivotField showAll="0"/>
    <pivotField showAll="0"/>
    <pivotField showAll="0"/>
    <pivotField showAll="0"/>
    <pivotField showAll="0"/>
    <pivotField showAll="0"/>
    <pivotField dataField="1"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4"/>
  </rowFields>
  <rowItems count="6">
    <i>
      <x/>
    </i>
    <i>
      <x v="1"/>
    </i>
    <i>
      <x v="2"/>
    </i>
    <i>
      <x v="3"/>
    </i>
    <i>
      <x v="4"/>
    </i>
    <i t="grand">
      <x/>
    </i>
  </rowItems>
  <colItems count="1">
    <i/>
  </colItems>
  <dataFields count="1">
    <dataField name="Sum of Engagement_Score" fld="13" baseField="0" baseItem="0" numFmtId="165"/>
  </dataFields>
  <formats count="1">
    <format dxfId="9">
      <pivotArea outline="0" collapsedLevelsAreSubtotals="1" fieldPosition="0"/>
    </format>
  </formats>
  <chartFormats count="3">
    <chartFormat chart="63" format="2"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54098B-A015-4020-885E-3ECBF97162D9}"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rowHeaderCaption="channel used" fieldListSortAscending="1">
  <location ref="K23:L30" firstHeaderRow="1" firstDataRow="1" firstDataCol="1"/>
  <pivotFields count="20">
    <pivotField showAll="0"/>
    <pivotField showAll="0"/>
    <pivotField showAll="0">
      <items count="6">
        <item x="2"/>
        <item x="0"/>
        <item x="1"/>
        <item x="3"/>
        <item x="4"/>
        <item t="default"/>
      </items>
    </pivotField>
    <pivotField axis="axisRow" showAll="0">
      <items count="7">
        <item x="5"/>
        <item x="4"/>
        <item x="0"/>
        <item x="2"/>
        <item x="3"/>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3"/>
  </rowFields>
  <rowItems count="7">
    <i>
      <x/>
    </i>
    <i>
      <x v="1"/>
    </i>
    <i>
      <x v="2"/>
    </i>
    <i>
      <x v="3"/>
    </i>
    <i>
      <x v="4"/>
    </i>
    <i>
      <x v="5"/>
    </i>
    <i t="grand">
      <x/>
    </i>
  </rowItems>
  <colItems count="1">
    <i/>
  </colItems>
  <dataFields count="1">
    <dataField name="Average of ROI" fld="8" subtotal="average" baseField="2" baseItem="0" numFmtId="2"/>
  </dataFields>
  <formats count="1">
    <format dxfId="10">
      <pivotArea outline="0" collapsedLevelsAreSubtotals="1" fieldPosition="0"/>
    </format>
  </formats>
  <chartFormats count="1">
    <chartFormat chart="6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7EDBDE-4D49-4884-A087-8C564037A187}"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rowHeaderCaption="campain-type" fieldListSortAscending="1">
  <location ref="M14:N20" firstHeaderRow="1" firstDataRow="1" firstDataCol="1"/>
  <pivotFields count="20">
    <pivotField showAll="0"/>
    <pivotField showAll="0"/>
    <pivotField axis="axisRow" showAll="0">
      <items count="6">
        <item x="2"/>
        <item x="0"/>
        <item x="1"/>
        <item x="3"/>
        <item x="4"/>
        <item t="default"/>
      </items>
    </pivotField>
    <pivotField showAll="0">
      <items count="7">
        <item x="5"/>
        <item x="4"/>
        <item x="0"/>
        <item x="2"/>
        <item x="3"/>
        <item x="1"/>
        <item t="default"/>
      </items>
    </pivotField>
    <pivotField showAll="0"/>
    <pivotField showAll="0"/>
    <pivotField showAll="0"/>
    <pivotField showAll="0"/>
    <pivotField showAll="0"/>
    <pivotField showAll="0"/>
    <pivotField showAll="0"/>
    <pivotField showAll="0"/>
    <pivotField showAll="0"/>
    <pivotField dataField="1"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2"/>
  </rowFields>
  <rowItems count="6">
    <i>
      <x/>
    </i>
    <i>
      <x v="1"/>
    </i>
    <i>
      <x v="2"/>
    </i>
    <i>
      <x v="3"/>
    </i>
    <i>
      <x v="4"/>
    </i>
    <i t="grand">
      <x/>
    </i>
  </rowItems>
  <colItems count="1">
    <i/>
  </colItems>
  <dataFields count="1">
    <dataField name="Sum of Engagement_Score" fld="13" baseField="0" baseItem="0"/>
  </dataFields>
  <chartFormats count="1">
    <chartFormat chart="5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1BF446-F075-47B3-8D75-0768E4E4D79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fieldListSortAscending="1">
  <location ref="A12:C25" firstHeaderRow="0" firstDataRow="1" firstDataCol="1"/>
  <pivotFields count="20">
    <pivotField showAll="0"/>
    <pivotField showAll="0"/>
    <pivotField showAll="0">
      <items count="6">
        <item x="2"/>
        <item x="0"/>
        <item x="1"/>
        <item x="3"/>
        <item x="4"/>
        <item t="default"/>
      </items>
    </pivotField>
    <pivotField showAll="0">
      <items count="7">
        <item x="5"/>
        <item x="4"/>
        <item x="0"/>
        <item x="2"/>
        <item x="3"/>
        <item x="1"/>
        <item t="default"/>
      </items>
    </pivotField>
    <pivotField showAll="0"/>
    <pivotField showAll="0"/>
    <pivotField showAll="0"/>
    <pivotField dataField="1" showAll="0"/>
    <pivotField dataField="1" showAll="0"/>
    <pivotField showAll="0"/>
    <pivotField showAll="0"/>
    <pivotField showAll="0"/>
    <pivotField showAll="0"/>
    <pivotField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8"/>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ROI" fld="8" subtotal="average" baseField="0" baseItem="0" numFmtId="2"/>
    <dataField name="Sum of Acquisition_Cost" fld="7" baseField="0" baseItem="0"/>
  </dataFields>
  <formats count="2">
    <format dxfId="12">
      <pivotArea outline="0" collapsedLevelsAreSubtotals="1" fieldPosition="0"/>
    </format>
    <format dxfId="11">
      <pivotArea collapsedLevelsAreSubtotals="1" fieldPosition="0">
        <references count="2">
          <reference field="4294967294" count="1" selected="0">
            <x v="1"/>
          </reference>
          <reference field="18" count="12">
            <x v="1"/>
            <x v="2"/>
            <x v="3"/>
            <x v="4"/>
            <x v="5"/>
            <x v="6"/>
            <x v="7"/>
            <x v="8"/>
            <x v="9"/>
            <x v="10"/>
            <x v="11"/>
            <x v="12"/>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9AB2412-658F-4278-9C14-26E8A0B83E5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A9:A10" firstHeaderRow="1" firstDataRow="1" firstDataCol="0"/>
  <pivotFields count="2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Items count="1">
    <i/>
  </rowItems>
  <colItems count="1">
    <i/>
  </colItems>
  <dataFields count="1">
    <dataField name="Average of ROI" fld="8" subtotal="average" baseField="0" baseItem="0" numFmtId="2"/>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45400E9-5F3C-424F-AD0B-FF5E85EFEED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fieldListSortAscending="1">
  <location ref="E27:F40" firstHeaderRow="1" firstDataRow="1" firstDataCol="1"/>
  <pivotFields count="20">
    <pivotField showAll="0"/>
    <pivotField showAll="0"/>
    <pivotField showAll="0">
      <items count="6">
        <item x="2"/>
        <item x="0"/>
        <item x="1"/>
        <item x="3"/>
        <item x="4"/>
        <item t="default"/>
      </items>
    </pivotField>
    <pivotField showAll="0">
      <items count="7">
        <item x="5"/>
        <item x="4"/>
        <item x="0"/>
        <item x="2"/>
        <item x="3"/>
        <item x="1"/>
        <item t="default"/>
      </items>
    </pivotField>
    <pivotField showAll="0"/>
    <pivotField showAll="0"/>
    <pivotField showAll="0"/>
    <pivotField showAll="0"/>
    <pivotField showAll="0"/>
    <pivotField showAll="0"/>
    <pivotField showAll="0"/>
    <pivotField showAll="0"/>
    <pivotField showAll="0"/>
    <pivotField dataField="1"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8"/>
  </rowFields>
  <rowItems count="13">
    <i>
      <x v="1"/>
    </i>
    <i>
      <x v="2"/>
    </i>
    <i>
      <x v="3"/>
    </i>
    <i>
      <x v="4"/>
    </i>
    <i>
      <x v="5"/>
    </i>
    <i>
      <x v="6"/>
    </i>
    <i>
      <x v="7"/>
    </i>
    <i>
      <x v="8"/>
    </i>
    <i>
      <x v="9"/>
    </i>
    <i>
      <x v="10"/>
    </i>
    <i>
      <x v="11"/>
    </i>
    <i>
      <x v="12"/>
    </i>
    <i t="grand">
      <x/>
    </i>
  </rowItems>
  <colItems count="1">
    <i/>
  </colItems>
  <dataFields count="1">
    <dataField name="Sum of Engagement_Score" fld="13" baseField="0" baseItem="0"/>
  </dataFields>
  <formats count="2">
    <format dxfId="15">
      <pivotArea outline="0" collapsedLevelsAreSubtotals="1" fieldPosition="0"/>
    </format>
    <format dxfId="14">
      <pivotArea collapsedLevelsAreSubtotals="1" fieldPosition="0">
        <references count="1">
          <reference field="18" count="12">
            <x v="1"/>
            <x v="2"/>
            <x v="3"/>
            <x v="4"/>
            <x v="5"/>
            <x v="6"/>
            <x v="7"/>
            <x v="8"/>
            <x v="9"/>
            <x v="10"/>
            <x v="11"/>
            <x v="12"/>
          </reference>
        </references>
      </pivotArea>
    </format>
  </formats>
  <chartFormats count="1">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BBF2972-5A12-40CA-97B5-292B3E28FFE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fieldListSortAscending="1">
  <location ref="H27:I40" firstHeaderRow="1" firstDataRow="1" firstDataCol="1"/>
  <pivotFields count="20">
    <pivotField showAll="0"/>
    <pivotField showAll="0"/>
    <pivotField showAll="0">
      <items count="6">
        <item x="2"/>
        <item x="0"/>
        <item x="1"/>
        <item x="3"/>
        <item x="4"/>
        <item t="default"/>
      </items>
    </pivotField>
    <pivotField showAll="0">
      <items count="7">
        <item x="5"/>
        <item x="4"/>
        <item x="0"/>
        <item x="2"/>
        <item x="3"/>
        <item x="1"/>
        <item t="default"/>
      </items>
    </pivotField>
    <pivotField showAll="0"/>
    <pivotField showAll="0"/>
    <pivotField dataField="1" showAll="0"/>
    <pivotField showAll="0"/>
    <pivotField showAll="0"/>
    <pivotField showAll="0"/>
    <pivotField showAll="0"/>
    <pivotField showAll="0"/>
    <pivotField showAll="0"/>
    <pivotField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8"/>
  </rowFields>
  <rowItems count="13">
    <i>
      <x v="1"/>
    </i>
    <i>
      <x v="2"/>
    </i>
    <i>
      <x v="3"/>
    </i>
    <i>
      <x v="4"/>
    </i>
    <i>
      <x v="5"/>
    </i>
    <i>
      <x v="6"/>
    </i>
    <i>
      <x v="7"/>
    </i>
    <i>
      <x v="8"/>
    </i>
    <i>
      <x v="9"/>
    </i>
    <i>
      <x v="10"/>
    </i>
    <i>
      <x v="11"/>
    </i>
    <i>
      <x v="12"/>
    </i>
    <i t="grand">
      <x/>
    </i>
  </rowItems>
  <colItems count="1">
    <i/>
  </colItems>
  <dataFields count="1">
    <dataField name="Sum of Conversion_Rate" fld="6" showDataAs="percentOfTotal" baseField="0" baseItem="0" numFmtId="10"/>
  </dataFields>
  <formats count="3">
    <format dxfId="18">
      <pivotArea collapsedLevelsAreSubtotals="1" fieldPosition="0">
        <references count="1">
          <reference field="18" count="12">
            <x v="1"/>
            <x v="2"/>
            <x v="3"/>
            <x v="4"/>
            <x v="5"/>
            <x v="6"/>
            <x v="7"/>
            <x v="8"/>
            <x v="9"/>
            <x v="10"/>
            <x v="11"/>
            <x v="12"/>
          </reference>
        </references>
      </pivotArea>
    </format>
    <format dxfId="17">
      <pivotArea outline="0" collapsedLevelsAreSubtotals="1" fieldPosition="0"/>
    </format>
    <format dxfId="16">
      <pivotArea outline="0" fieldPosition="0">
        <references count="1">
          <reference field="4294967294" count="1">
            <x v="0"/>
          </reference>
        </references>
      </pivotArea>
    </format>
  </formats>
  <chartFormats count="13">
    <chartFormat chart="44" format="14" series="1">
      <pivotArea type="data" outline="0" fieldPosition="0">
        <references count="1">
          <reference field="4294967294" count="1" selected="0">
            <x v="0"/>
          </reference>
        </references>
      </pivotArea>
    </chartFormat>
    <chartFormat chart="44" format="15">
      <pivotArea type="data" outline="0" fieldPosition="0">
        <references count="2">
          <reference field="4294967294" count="1" selected="0">
            <x v="0"/>
          </reference>
          <reference field="18" count="1" selected="0">
            <x v="1"/>
          </reference>
        </references>
      </pivotArea>
    </chartFormat>
    <chartFormat chart="44" format="16">
      <pivotArea type="data" outline="0" fieldPosition="0">
        <references count="2">
          <reference field="4294967294" count="1" selected="0">
            <x v="0"/>
          </reference>
          <reference field="18" count="1" selected="0">
            <x v="2"/>
          </reference>
        </references>
      </pivotArea>
    </chartFormat>
    <chartFormat chart="44" format="17">
      <pivotArea type="data" outline="0" fieldPosition="0">
        <references count="2">
          <reference field="4294967294" count="1" selected="0">
            <x v="0"/>
          </reference>
          <reference field="18" count="1" selected="0">
            <x v="3"/>
          </reference>
        </references>
      </pivotArea>
    </chartFormat>
    <chartFormat chart="44" format="18">
      <pivotArea type="data" outline="0" fieldPosition="0">
        <references count="2">
          <reference field="4294967294" count="1" selected="0">
            <x v="0"/>
          </reference>
          <reference field="18" count="1" selected="0">
            <x v="4"/>
          </reference>
        </references>
      </pivotArea>
    </chartFormat>
    <chartFormat chart="44" format="19">
      <pivotArea type="data" outline="0" fieldPosition="0">
        <references count="2">
          <reference field="4294967294" count="1" selected="0">
            <x v="0"/>
          </reference>
          <reference field="18" count="1" selected="0">
            <x v="5"/>
          </reference>
        </references>
      </pivotArea>
    </chartFormat>
    <chartFormat chart="44" format="20">
      <pivotArea type="data" outline="0" fieldPosition="0">
        <references count="2">
          <reference field="4294967294" count="1" selected="0">
            <x v="0"/>
          </reference>
          <reference field="18" count="1" selected="0">
            <x v="6"/>
          </reference>
        </references>
      </pivotArea>
    </chartFormat>
    <chartFormat chart="44" format="21">
      <pivotArea type="data" outline="0" fieldPosition="0">
        <references count="2">
          <reference field="4294967294" count="1" selected="0">
            <x v="0"/>
          </reference>
          <reference field="18" count="1" selected="0">
            <x v="7"/>
          </reference>
        </references>
      </pivotArea>
    </chartFormat>
    <chartFormat chart="44" format="22">
      <pivotArea type="data" outline="0" fieldPosition="0">
        <references count="2">
          <reference field="4294967294" count="1" selected="0">
            <x v="0"/>
          </reference>
          <reference field="18" count="1" selected="0">
            <x v="8"/>
          </reference>
        </references>
      </pivotArea>
    </chartFormat>
    <chartFormat chart="44" format="23">
      <pivotArea type="data" outline="0" fieldPosition="0">
        <references count="2">
          <reference field="4294967294" count="1" selected="0">
            <x v="0"/>
          </reference>
          <reference field="18" count="1" selected="0">
            <x v="9"/>
          </reference>
        </references>
      </pivotArea>
    </chartFormat>
    <chartFormat chart="44" format="24">
      <pivotArea type="data" outline="0" fieldPosition="0">
        <references count="2">
          <reference field="4294967294" count="1" selected="0">
            <x v="0"/>
          </reference>
          <reference field="18" count="1" selected="0">
            <x v="10"/>
          </reference>
        </references>
      </pivotArea>
    </chartFormat>
    <chartFormat chart="44" format="25">
      <pivotArea type="data" outline="0" fieldPosition="0">
        <references count="2">
          <reference field="4294967294" count="1" selected="0">
            <x v="0"/>
          </reference>
          <reference field="18" count="1" selected="0">
            <x v="11"/>
          </reference>
        </references>
      </pivotArea>
    </chartFormat>
    <chartFormat chart="44" format="26">
      <pivotArea type="data" outline="0" fieldPosition="0">
        <references count="2">
          <reference field="4294967294" count="1" selected="0">
            <x v="0"/>
          </reference>
          <reference field="18"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5DA69DD-449D-4ACE-94FC-91C823366928}"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rowHeaderCaption="channel used" fieldListSortAscending="1">
  <location ref="T5:U11" firstHeaderRow="1" firstDataRow="1" firstDataCol="1"/>
  <pivotFields count="20">
    <pivotField showAll="0"/>
    <pivotField showAll="0"/>
    <pivotField showAll="0">
      <items count="6">
        <item x="2"/>
        <item x="0"/>
        <item x="1"/>
        <item x="3"/>
        <item x="4"/>
        <item t="default"/>
      </items>
    </pivotField>
    <pivotField showAll="0">
      <items count="7">
        <item x="5"/>
        <item x="4"/>
        <item x="0"/>
        <item x="2"/>
        <item x="3"/>
        <item x="1"/>
        <item t="default"/>
      </items>
    </pivotField>
    <pivotField axis="axisRow" showAll="0">
      <items count="6">
        <item x="1"/>
        <item x="3"/>
        <item x="0"/>
        <item x="2"/>
        <item x="4"/>
        <item t="default"/>
      </items>
    </pivotField>
    <pivotField showAll="0"/>
    <pivotField dataField="1" showAll="0"/>
    <pivotField showAll="0"/>
    <pivotField showAll="0"/>
    <pivotField showAll="0"/>
    <pivotField showAll="0"/>
    <pivotField showAll="0"/>
    <pivotField showAll="0"/>
    <pivotField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4"/>
  </rowFields>
  <rowItems count="6">
    <i>
      <x/>
    </i>
    <i>
      <x v="1"/>
    </i>
    <i>
      <x v="2"/>
    </i>
    <i>
      <x v="3"/>
    </i>
    <i>
      <x v="4"/>
    </i>
    <i t="grand">
      <x/>
    </i>
  </rowItems>
  <colItems count="1">
    <i/>
  </colItems>
  <dataFields count="1">
    <dataField name="Average of Conversion_Rate" fld="6" subtotal="average" baseField="2" baseItem="2"/>
  </dataFields>
  <formats count="1">
    <format dxfId="19">
      <pivotArea outline="0" collapsedLevelsAreSubtotals="1" fieldPosition="0"/>
    </format>
  </formats>
  <chartFormats count="2">
    <chartFormat chart="63" format="2"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5FD6C0C-85D2-4CB3-9685-E09836754923}"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4" rowHeaderCaption="campain-type" fieldListSortAscending="1">
  <location ref="I14:K20" firstHeaderRow="0" firstDataRow="1" firstDataCol="1"/>
  <pivotFields count="20">
    <pivotField showAll="0"/>
    <pivotField showAll="0"/>
    <pivotField axis="axisRow" showAll="0">
      <items count="6">
        <item x="2"/>
        <item x="0"/>
        <item x="1"/>
        <item x="3"/>
        <item x="4"/>
        <item t="default"/>
      </items>
    </pivotField>
    <pivotField showAll="0">
      <items count="7">
        <item x="5"/>
        <item x="4"/>
        <item x="0"/>
        <item x="2"/>
        <item x="3"/>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2"/>
  </rowFields>
  <rowItems count="6">
    <i>
      <x/>
    </i>
    <i>
      <x v="1"/>
    </i>
    <i>
      <x v="2"/>
    </i>
    <i>
      <x v="3"/>
    </i>
    <i>
      <x v="4"/>
    </i>
    <i t="grand">
      <x/>
    </i>
  </rowItems>
  <colFields count="1">
    <field x="-2"/>
  </colFields>
  <colItems count="2">
    <i>
      <x/>
    </i>
    <i i="1">
      <x v="1"/>
    </i>
  </colItems>
  <dataFields count="2">
    <dataField name="Sum of Impressions" fld="12" showDataAs="percentOfTotal" baseField="0" baseItem="0" numFmtId="10"/>
    <dataField name="Sum of Clicks" fld="11" showDataAs="percentOfTotal" baseField="0" baseItem="0" numFmtId="10"/>
  </dataFields>
  <chartFormats count="4">
    <chartFormat chart="61" format="4" series="1">
      <pivotArea type="data" outline="0" fieldPosition="0">
        <references count="1">
          <reference field="4294967294" count="1" selected="0">
            <x v="0"/>
          </reference>
        </references>
      </pivotArea>
    </chartFormat>
    <chartFormat chart="61" format="5" series="1">
      <pivotArea type="data" outline="0" fieldPosition="0">
        <references count="1">
          <reference field="4294967294" count="1" selected="0">
            <x v="1"/>
          </reference>
        </references>
      </pivotArea>
    </chartFormat>
    <chartFormat chart="61" format="6">
      <pivotArea type="data" outline="0" fieldPosition="0">
        <references count="2">
          <reference field="4294967294" count="1" selected="0">
            <x v="1"/>
          </reference>
          <reference field="2" count="1" selected="0">
            <x v="1"/>
          </reference>
        </references>
      </pivotArea>
    </chartFormat>
    <chartFormat chart="61" format="7">
      <pivotArea type="data" outline="0" fieldPosition="0">
        <references count="2">
          <reference field="4294967294" count="1" selected="0">
            <x v="1"/>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91F42F7-FDB5-4921-B958-655659677C56}"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rowHeaderCaption="channel used" fieldListSortAscending="1">
  <location ref="P14:Q21" firstHeaderRow="1" firstDataRow="1" firstDataCol="1"/>
  <pivotFields count="20">
    <pivotField showAll="0"/>
    <pivotField showAll="0"/>
    <pivotField showAll="0">
      <items count="6">
        <item x="2"/>
        <item x="0"/>
        <item x="1"/>
        <item x="3"/>
        <item x="4"/>
        <item t="default"/>
      </items>
    </pivotField>
    <pivotField axis="axisRow" showAll="0">
      <items count="7">
        <item x="5"/>
        <item x="4"/>
        <item x="0"/>
        <item x="2"/>
        <item x="3"/>
        <item x="1"/>
        <item t="default"/>
      </items>
    </pivotField>
    <pivotField showAll="0"/>
    <pivotField showAll="0"/>
    <pivotField showAll="0"/>
    <pivotField showAll="0"/>
    <pivotField showAll="0"/>
    <pivotField showAll="0"/>
    <pivotField showAll="0"/>
    <pivotField showAll="0"/>
    <pivotField showAll="0"/>
    <pivotField dataField="1"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3"/>
  </rowFields>
  <rowItems count="7">
    <i>
      <x/>
    </i>
    <i>
      <x v="1"/>
    </i>
    <i>
      <x v="2"/>
    </i>
    <i>
      <x v="3"/>
    </i>
    <i>
      <x v="4"/>
    </i>
    <i>
      <x v="5"/>
    </i>
    <i t="grand">
      <x/>
    </i>
  </rowItems>
  <colItems count="1">
    <i/>
  </colItems>
  <dataFields count="1">
    <dataField name="Sum of Engagement_Score" fld="13" baseField="0" baseItem="0" numFmtId="165"/>
  </dataFields>
  <formats count="1">
    <format dxfId="20">
      <pivotArea outline="0" collapsedLevelsAreSubtotals="1" fieldPosition="0"/>
    </format>
  </formats>
  <chartFormats count="1">
    <chartFormat chart="6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8D93479-68A4-4346-B6F9-E85C0473343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A6:A7" firstHeaderRow="1" firstDataRow="1" firstDataCol="0"/>
  <pivotFields count="2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Items count="1">
    <i/>
  </rowItems>
  <colItems count="1">
    <i/>
  </colItems>
  <dataFields count="1">
    <dataField name="Average of Conversion_Rate" fld="6" subtotal="average" baseField="0" baseItem="0" numFmtId="4"/>
  </dataFields>
  <formats count="3">
    <format dxfId="23">
      <pivotArea outline="0" fieldPosition="0">
        <references count="1">
          <reference field="4294967294" count="1">
            <x v="0"/>
          </reference>
        </references>
      </pivotArea>
    </format>
    <format dxfId="22">
      <pivotArea outline="0" fieldPosition="0">
        <references count="1">
          <reference field="4294967294" count="1">
            <x v="0"/>
          </reference>
        </references>
      </pivotArea>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5F99DC7-A339-4888-8A92-84F44C87911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fieldListSortAscending="1">
  <location ref="A27:C40" firstHeaderRow="0" firstDataRow="1" firstDataCol="1"/>
  <pivotFields count="20">
    <pivotField showAll="0"/>
    <pivotField showAll="0"/>
    <pivotField showAll="0">
      <items count="6">
        <item x="2"/>
        <item x="0"/>
        <item x="1"/>
        <item x="3"/>
        <item x="4"/>
        <item t="default"/>
      </items>
    </pivotField>
    <pivotField showAll="0">
      <items count="7">
        <item x="5"/>
        <item x="4"/>
        <item x="0"/>
        <item x="2"/>
        <item x="3"/>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8"/>
  </rowFields>
  <rowItems count="13">
    <i>
      <x v="1"/>
    </i>
    <i>
      <x v="2"/>
    </i>
    <i>
      <x v="3"/>
    </i>
    <i>
      <x v="4"/>
    </i>
    <i>
      <x v="5"/>
    </i>
    <i>
      <x v="6"/>
    </i>
    <i>
      <x v="7"/>
    </i>
    <i>
      <x v="8"/>
    </i>
    <i>
      <x v="9"/>
    </i>
    <i>
      <x v="10"/>
    </i>
    <i>
      <x v="11"/>
    </i>
    <i>
      <x v="12"/>
    </i>
    <i t="grand">
      <x/>
    </i>
  </rowItems>
  <colFields count="1">
    <field x="-2"/>
  </colFields>
  <colItems count="2">
    <i>
      <x/>
    </i>
    <i i="1">
      <x v="1"/>
    </i>
  </colItems>
  <dataFields count="2">
    <dataField name="Sum of Clicks" fld="11" baseField="0" baseItem="0"/>
    <dataField name="Sum of Impressions" fld="12" baseField="0" baseItem="0"/>
  </dataFields>
  <formats count="3">
    <format dxfId="26">
      <pivotArea outline="0" collapsedLevelsAreSubtotals="1" fieldPosition="0"/>
    </format>
    <format dxfId="25">
      <pivotArea collapsedLevelsAreSubtotals="1" fieldPosition="0">
        <references count="2">
          <reference field="4294967294" count="1" selected="0">
            <x v="0"/>
          </reference>
          <reference field="18" count="12">
            <x v="1"/>
            <x v="2"/>
            <x v="3"/>
            <x v="4"/>
            <x v="5"/>
            <x v="6"/>
            <x v="7"/>
            <x v="8"/>
            <x v="9"/>
            <x v="10"/>
            <x v="11"/>
            <x v="12"/>
          </reference>
        </references>
      </pivotArea>
    </format>
    <format dxfId="24">
      <pivotArea collapsedLevelsAreSubtotals="1" fieldPosition="0">
        <references count="2">
          <reference field="4294967294" count="1" selected="0">
            <x v="1"/>
          </reference>
          <reference field="18" count="12">
            <x v="1"/>
            <x v="2"/>
            <x v="3"/>
            <x v="4"/>
            <x v="5"/>
            <x v="6"/>
            <x v="7"/>
            <x v="8"/>
            <x v="9"/>
            <x v="10"/>
            <x v="11"/>
            <x v="12"/>
          </reference>
        </references>
      </pivotArea>
    </format>
  </formats>
  <chartFormats count="2">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C0B786A-211E-49E6-959E-1A6A478D1783}"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rowHeaderCaption="channel used" fieldListSortAscending="1">
  <location ref="T22:V28" firstHeaderRow="0" firstDataRow="1" firstDataCol="1"/>
  <pivotFields count="20">
    <pivotField showAll="0"/>
    <pivotField showAll="0"/>
    <pivotField showAll="0">
      <items count="6">
        <item x="2"/>
        <item x="0"/>
        <item x="1"/>
        <item x="3"/>
        <item x="4"/>
        <item t="default"/>
      </items>
    </pivotField>
    <pivotField showAll="0">
      <items count="7">
        <item x="5"/>
        <item x="4"/>
        <item x="0"/>
        <item x="2"/>
        <item x="3"/>
        <item x="1"/>
        <item t="default"/>
      </items>
    </pivotField>
    <pivotField axis="axisRow" showAll="0">
      <items count="6">
        <item x="1"/>
        <item x="3"/>
        <item x="0"/>
        <item x="2"/>
        <item x="4"/>
        <item t="default"/>
      </items>
    </pivotField>
    <pivotField showAll="0"/>
    <pivotField showAll="0"/>
    <pivotField showAll="0"/>
    <pivotField showAll="0"/>
    <pivotField showAll="0"/>
    <pivotField showAll="0"/>
    <pivotField dataField="1" showAll="0"/>
    <pivotField dataField="1" showAll="0"/>
    <pivotField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4"/>
  </rowFields>
  <rowItems count="6">
    <i>
      <x/>
    </i>
    <i>
      <x v="1"/>
    </i>
    <i>
      <x v="2"/>
    </i>
    <i>
      <x v="3"/>
    </i>
    <i>
      <x v="4"/>
    </i>
    <i t="grand">
      <x/>
    </i>
  </rowItems>
  <colFields count="1">
    <field x="-2"/>
  </colFields>
  <colItems count="2">
    <i>
      <x/>
    </i>
    <i i="1">
      <x v="1"/>
    </i>
  </colItems>
  <dataFields count="2">
    <dataField name="Sum of Impressions" fld="12" baseField="0" baseItem="0" numFmtId="164"/>
    <dataField name="Sum of Clicks" fld="11" baseField="0" baseItem="0" numFmtId="165"/>
  </dataFields>
  <formats count="3">
    <format dxfId="29">
      <pivotArea outline="0" collapsedLevelsAreSubtotals="1" fieldPosition="0"/>
    </format>
    <format dxfId="28">
      <pivotArea outline="0" collapsedLevelsAreSubtotals="1" fieldPosition="0">
        <references count="1">
          <reference field="4294967294" count="1" selected="0">
            <x v="0"/>
          </reference>
        </references>
      </pivotArea>
    </format>
    <format dxfId="27">
      <pivotArea outline="0" collapsedLevelsAreSubtotals="1" fieldPosition="0">
        <references count="1">
          <reference field="4294967294" count="1" selected="0">
            <x v="1"/>
          </reference>
        </references>
      </pivotArea>
    </format>
  </formats>
  <chartFormats count="6">
    <chartFormat chart="63" format="4" series="1">
      <pivotArea type="data" outline="0" fieldPosition="0">
        <references count="1">
          <reference field="4294967294" count="1" selected="0">
            <x v="0"/>
          </reference>
        </references>
      </pivotArea>
    </chartFormat>
    <chartFormat chart="63" format="5" series="1">
      <pivotArea type="data" outline="0" fieldPosition="0">
        <references count="1">
          <reference field="4294967294" count="1" selected="0">
            <x v="1"/>
          </reference>
        </references>
      </pivotArea>
    </chartFormat>
    <chartFormat chart="66" format="0" series="1">
      <pivotArea type="data" outline="0" fieldPosition="0">
        <references count="1">
          <reference field="4294967294" count="1" selected="0">
            <x v="0"/>
          </reference>
        </references>
      </pivotArea>
    </chartFormat>
    <chartFormat chart="66" format="1" series="1">
      <pivotArea type="data" outline="0" fieldPosition="0">
        <references count="1">
          <reference field="4294967294" count="1" selected="0">
            <x v="1"/>
          </reference>
        </references>
      </pivotArea>
    </chartFormat>
    <chartFormat chart="70" format="4" series="1">
      <pivotArea type="data" outline="0" fieldPosition="0">
        <references count="1">
          <reference field="4294967294" count="1" selected="0">
            <x v="0"/>
          </reference>
        </references>
      </pivotArea>
    </chartFormat>
    <chartFormat chart="7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2BF6F60-3CDF-483B-BE01-8025801D12F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C9:C10"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Items count="1">
    <i/>
  </rowItems>
  <colItems count="1">
    <i/>
  </colItems>
  <dataFields count="1">
    <dataField name="T-Engagement_Score" fld="13" baseField="0" baseItem="0" numFmtId="165"/>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863C4F2-338C-4E82-88FB-3D80B3F4F10D}"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rowHeaderCaption="channel used" fieldListSortAscending="1">
  <location ref="P5:Q11" firstHeaderRow="1" firstDataRow="1" firstDataCol="1"/>
  <pivotFields count="20">
    <pivotField showAll="0"/>
    <pivotField showAll="0"/>
    <pivotField axis="axisRow" showAll="0">
      <items count="6">
        <item x="2"/>
        <item x="0"/>
        <item x="1"/>
        <item x="3"/>
        <item x="4"/>
        <item t="default"/>
      </items>
    </pivotField>
    <pivotField showAll="0">
      <items count="7">
        <item x="5"/>
        <item x="4"/>
        <item x="0"/>
        <item x="2"/>
        <item x="3"/>
        <item x="1"/>
        <item t="default"/>
      </items>
    </pivotField>
    <pivotField showAll="0"/>
    <pivotField showAll="0"/>
    <pivotField dataField="1" showAll="0"/>
    <pivotField showAll="0"/>
    <pivotField showAll="0"/>
    <pivotField showAll="0"/>
    <pivotField showAll="0"/>
    <pivotField showAll="0"/>
    <pivotField showAll="0"/>
    <pivotField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2"/>
  </rowFields>
  <rowItems count="6">
    <i>
      <x/>
    </i>
    <i>
      <x v="1"/>
    </i>
    <i>
      <x v="2"/>
    </i>
    <i>
      <x v="3"/>
    </i>
    <i>
      <x v="4"/>
    </i>
    <i t="grand">
      <x/>
    </i>
  </rowItems>
  <colItems count="1">
    <i/>
  </colItems>
  <dataFields count="1">
    <dataField name="Average of Conversion_Rate" fld="6" subtotal="average" baseField="2" baseItem="2"/>
  </dataFields>
  <formats count="1">
    <format dxfId="31">
      <pivotArea outline="0" collapsedLevelsAreSubtotals="1" fieldPosition="0"/>
    </format>
  </formats>
  <chartFormats count="1">
    <chartFormat chart="6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7803376-FC4A-46C0-A765-1F43D3318B0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C6:C7" firstHeaderRow="1" firstDataRow="1" firstDataCol="0"/>
  <pivotFields count="2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20">
        <item x="0"/>
        <item x="25"/>
        <item x="219"/>
        <item x="240"/>
        <item x="47"/>
        <item x="295"/>
        <item x="115"/>
        <item x="231"/>
        <item x="301"/>
        <item x="280"/>
        <item x="48"/>
        <item x="305"/>
        <item x="8"/>
        <item x="15"/>
        <item x="1"/>
        <item x="262"/>
        <item x="32"/>
        <item x="246"/>
        <item x="44"/>
        <item x="23"/>
        <item x="230"/>
        <item x="102"/>
        <item x="126"/>
        <item x="172"/>
        <item x="166"/>
        <item x="90"/>
        <item x="182"/>
        <item x="75"/>
        <item x="2"/>
        <item x="20"/>
        <item x="52"/>
        <item x="49"/>
        <item x="53"/>
        <item x="209"/>
        <item x="211"/>
        <item x="310"/>
        <item x="184"/>
        <item x="103"/>
        <item x="196"/>
        <item x="24"/>
        <item x="198"/>
        <item x="143"/>
        <item x="252"/>
        <item x="186"/>
        <item x="29"/>
        <item x="271"/>
        <item x="153"/>
        <item x="3"/>
        <item x="228"/>
        <item x="290"/>
        <item x="180"/>
        <item x="195"/>
        <item x="147"/>
        <item x="170"/>
        <item x="84"/>
        <item x="31"/>
        <item x="4"/>
        <item x="150"/>
        <item x="316"/>
        <item x="276"/>
        <item x="215"/>
        <item x="289"/>
        <item x="224"/>
        <item x="50"/>
        <item x="204"/>
        <item x="85"/>
        <item x="129"/>
        <item x="225"/>
        <item x="207"/>
        <item x="216"/>
        <item x="35"/>
        <item x="202"/>
        <item x="144"/>
        <item x="256"/>
        <item x="294"/>
        <item x="95"/>
        <item x="232"/>
        <item x="286"/>
        <item x="292"/>
        <item x="111"/>
        <item x="6"/>
        <item x="297"/>
        <item x="214"/>
        <item x="201"/>
        <item x="45"/>
        <item x="146"/>
        <item x="60"/>
        <item x="299"/>
        <item x="264"/>
        <item x="312"/>
        <item x="113"/>
        <item x="70"/>
        <item x="205"/>
        <item x="281"/>
        <item x="278"/>
        <item x="176"/>
        <item x="296"/>
        <item x="291"/>
        <item x="7"/>
        <item x="27"/>
        <item x="118"/>
        <item x="263"/>
        <item x="94"/>
        <item x="106"/>
        <item x="171"/>
        <item x="243"/>
        <item x="285"/>
        <item x="123"/>
        <item x="78"/>
        <item x="127"/>
        <item x="183"/>
        <item x="97"/>
        <item x="261"/>
        <item x="137"/>
        <item x="244"/>
        <item x="93"/>
        <item x="287"/>
        <item x="77"/>
        <item x="57"/>
        <item x="91"/>
        <item x="82"/>
        <item x="117"/>
        <item x="185"/>
        <item x="98"/>
        <item x="212"/>
        <item x="131"/>
        <item x="12"/>
        <item x="38"/>
        <item x="191"/>
        <item x="288"/>
        <item x="178"/>
        <item x="181"/>
        <item x="42"/>
        <item x="279"/>
        <item x="239"/>
        <item x="188"/>
        <item x="107"/>
        <item x="275"/>
        <item x="161"/>
        <item x="124"/>
        <item x="105"/>
        <item x="81"/>
        <item x="64"/>
        <item x="251"/>
        <item x="197"/>
        <item x="194"/>
        <item x="247"/>
        <item x="284"/>
        <item x="311"/>
        <item x="249"/>
        <item x="133"/>
        <item x="164"/>
        <item x="315"/>
        <item x="199"/>
        <item x="73"/>
        <item x="148"/>
        <item x="304"/>
        <item x="136"/>
        <item x="274"/>
        <item x="255"/>
        <item x="163"/>
        <item x="92"/>
        <item x="132"/>
        <item x="151"/>
        <item x="96"/>
        <item x="62"/>
        <item x="112"/>
        <item x="125"/>
        <item x="158"/>
        <item x="69"/>
        <item x="260"/>
        <item x="65"/>
        <item x="63"/>
        <item x="241"/>
        <item x="203"/>
        <item x="266"/>
        <item x="67"/>
        <item x="175"/>
        <item x="162"/>
        <item x="5"/>
        <item x="302"/>
        <item x="149"/>
        <item x="39"/>
        <item x="56"/>
        <item x="293"/>
        <item x="233"/>
        <item x="317"/>
        <item x="306"/>
        <item x="217"/>
        <item x="108"/>
        <item x="272"/>
        <item x="303"/>
        <item x="109"/>
        <item x="114"/>
        <item x="268"/>
        <item x="318"/>
        <item x="11"/>
        <item x="265"/>
        <item x="88"/>
        <item x="116"/>
        <item x="80"/>
        <item x="220"/>
        <item x="37"/>
        <item x="177"/>
        <item x="76"/>
        <item x="120"/>
        <item x="229"/>
        <item x="165"/>
        <item x="43"/>
        <item x="142"/>
        <item x="173"/>
        <item x="152"/>
        <item x="130"/>
        <item x="17"/>
        <item x="59"/>
        <item x="187"/>
        <item x="298"/>
        <item x="307"/>
        <item x="227"/>
        <item x="54"/>
        <item x="189"/>
        <item x="213"/>
        <item x="248"/>
        <item x="139"/>
        <item x="40"/>
        <item x="221"/>
        <item x="206"/>
        <item x="269"/>
        <item x="21"/>
        <item x="159"/>
        <item x="222"/>
        <item x="13"/>
        <item x="154"/>
        <item x="160"/>
        <item x="135"/>
        <item x="218"/>
        <item x="51"/>
        <item x="283"/>
        <item x="190"/>
        <item x="55"/>
        <item x="155"/>
        <item x="254"/>
        <item x="156"/>
        <item x="66"/>
        <item x="234"/>
        <item x="104"/>
        <item x="34"/>
        <item x="267"/>
        <item x="313"/>
        <item x="134"/>
        <item x="18"/>
        <item x="72"/>
        <item x="28"/>
        <item x="87"/>
        <item x="14"/>
        <item x="121"/>
        <item x="140"/>
        <item x="19"/>
        <item x="237"/>
        <item x="119"/>
        <item x="169"/>
        <item x="223"/>
        <item x="226"/>
        <item x="89"/>
        <item x="245"/>
        <item x="100"/>
        <item x="30"/>
        <item x="79"/>
        <item x="10"/>
        <item x="308"/>
        <item x="101"/>
        <item x="314"/>
        <item x="83"/>
        <item x="26"/>
        <item x="192"/>
        <item x="110"/>
        <item x="22"/>
        <item x="145"/>
        <item x="58"/>
        <item x="270"/>
        <item x="122"/>
        <item x="86"/>
        <item x="258"/>
        <item x="61"/>
        <item x="128"/>
        <item x="250"/>
        <item x="200"/>
        <item x="238"/>
        <item x="179"/>
        <item x="141"/>
        <item x="273"/>
        <item x="99"/>
        <item x="193"/>
        <item x="242"/>
        <item x="33"/>
        <item x="9"/>
        <item x="236"/>
        <item x="68"/>
        <item x="309"/>
        <item x="41"/>
        <item x="167"/>
        <item x="36"/>
        <item x="16"/>
        <item x="259"/>
        <item x="235"/>
        <item x="277"/>
        <item x="138"/>
        <item x="257"/>
        <item x="253"/>
        <item x="71"/>
        <item x="157"/>
        <item x="208"/>
        <item x="210"/>
        <item x="74"/>
        <item x="168"/>
        <item x="300"/>
        <item x="282"/>
        <item x="174"/>
        <item x="46"/>
        <item t="default"/>
      </items>
    </pivotField>
    <pivotField showAll="0">
      <items count="5">
        <item x="1"/>
        <item x="0"/>
        <item x="2"/>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Items count="1">
    <i/>
  </rowItems>
  <colItems count="1">
    <i/>
  </colItems>
  <dataFields count="1">
    <dataField name="Sum of Acquisition_Cost" fld="7" baseField="0" baseItem="0" numFmtId="164"/>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6F55824-70D0-4273-9088-F35313CBB3EA}" sourceName="Age_group">
  <pivotTables>
    <pivotTable tabId="3" name="PivotTable13"/>
    <pivotTable tabId="3" name="PivotTable1"/>
    <pivotTable tabId="3" name="PivotTable2"/>
    <pivotTable tabId="3" name="PivotTable3"/>
    <pivotTable tabId="3" name="PivotTable5"/>
    <pivotTable tabId="3" name="PivotTable6"/>
    <pivotTable tabId="3" name="PivotTable7"/>
    <pivotTable tabId="3" name="PivotTable14"/>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28"/>
  </pivotTables>
  <data>
    <tabular pivotCacheId="888266960">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1855485F-C7D9-4AE9-A7BF-CB84619F85DA}" sourceName="Campaign_Type">
  <pivotTables>
    <pivotTable tabId="3" name="PivotTable13"/>
    <pivotTable tabId="3" name="PivotTable14"/>
    <pivotTable tabId="3" name="PivotTable15"/>
    <pivotTable tabId="3" name="PivotTable16"/>
    <pivotTable tabId="3" name="PivotTable17"/>
    <pivotTable tabId="3" name="PivotTable18"/>
    <pivotTable tabId="3" name="PivotTable19"/>
    <pivotTable tabId="3" name="PivotTable20"/>
    <pivotTable tabId="3" name="PivotTable21"/>
    <pivotTable tabId="3" name="PivotTable23"/>
    <pivotTable tabId="3" name="PivotTable24"/>
    <pivotTable tabId="3" name="PivotTable25"/>
    <pivotTable tabId="3" name="PivotTable27"/>
    <pivotTable tabId="3" name="PivotTable28"/>
    <pivotTable tabId="3" name="PivotTable26"/>
  </pivotTables>
  <data>
    <tabular pivotCacheId="888266960">
      <items count="5">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Used" xr10:uid="{F1D4CEDC-28AF-466C-9FA1-C42B5656FF1F}" sourceName="Channel_Used">
  <pivotTables>
    <pivotTable tabId="3" name="PivotTable13"/>
    <pivotTable tabId="3" name="PivotTable14"/>
    <pivotTable tabId="3" name="PivotTable15"/>
    <pivotTable tabId="3" name="PivotTable16"/>
    <pivotTable tabId="3" name="PivotTable17"/>
    <pivotTable tabId="3" name="PivotTable18"/>
    <pivotTable tabId="3" name="PivotTable19"/>
    <pivotTable tabId="3" name="PivotTable20"/>
    <pivotTable tabId="3" name="PivotTable21"/>
    <pivotTable tabId="3" name="PivotTable23"/>
    <pivotTable tabId="3" name="PivotTable24"/>
    <pivotTable tabId="3" name="PivotTable25"/>
    <pivotTable tabId="3" name="PivotTable27"/>
    <pivotTable tabId="3" name="PivotTable28"/>
    <pivotTable tabId="3" name="PivotTable26"/>
  </pivotTables>
  <data>
    <tabular pivotCacheId="888266960">
      <items count="6">
        <i x="5" s="1"/>
        <i x="4" s="1"/>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D5E36428-200A-4502-8298-7222E20E7F92}" cache="Slicer_Age_group" caption="Age_group" rowHeight="234950"/>
  <slicer name="Campaign_Type" xr10:uid="{9C722CA8-B11C-4DFE-9CAE-68B3A57DE92A}" cache="Slicer_Campaign_Type" caption="Campaign_Type" rowHeight="234950"/>
  <slicer name="Channel_Used" xr10:uid="{EC889B96-9BCC-4A23-B276-EAF757E00D28}" cache="Slicer_Channel_Used" caption="Channel_Use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Type 5" xr10:uid="{B439646C-4CF6-487F-968E-91483C601FCB}" cache="Slicer_Campaign_Type" caption="Campaign_Type" style="SlicerStyleLight6" rowHeight="234950"/>
  <slicer name="Channel_Used 1" xr10:uid="{A2544569-860C-4F49-BE98-458F45F8F731}" cache="Slicer_Channel_Used" caption="Channel_Used"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DA0927C0-1024-467A-91C7-9FC68329DAA8}" cache="Slicer_Age_group" caption="Age_group" style="SlicerStyleLight6" rowHeight="234950"/>
  <slicer name="Channel_Used 2" xr10:uid="{18A8472F-3F84-471D-AAAB-61CA55041F10}" cache="Slicer_Channel_Used" caption="Channel_Used" style="SlicerStyleLight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2" xr10:uid="{F0514556-EF00-4717-AAA4-C107091DB17B}" cache="Slicer_Age_group" caption="Age_group" style="SlicerStyleLight6" rowHeight="234950"/>
  <slicer name="Campaign_Type 6" xr10:uid="{F9CB54A4-6258-45AB-9740-85E9ACA68AFD}" cache="Slicer_Campaign_Type" caption="Campaign_Type" style="SlicerStyleLight6"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Type 7" xr10:uid="{3184C5FF-7951-48F2-9F86-9B8AEC5347B0}" cache="Slicer_Campaign_Type" caption="Campaign_Type" style="SlicerStyleLight6" rowHeight="234950"/>
  <slicer name="Channel_Used 4" xr10:uid="{8CBE63A7-69D1-416D-A66A-7C2E7CF13FDA}" cache="Slicer_Channel_Used" caption="Channel_Used" style="SlicerStyleLight6" rowHeight="234950"/>
</slicers>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5E8E6-50D9-4F82-BF89-5F2E67EB6E8A}">
  <dimension ref="A1:V40"/>
  <sheetViews>
    <sheetView zoomScale="84" workbookViewId="0">
      <selection activeCell="B16" sqref="B16"/>
    </sheetView>
  </sheetViews>
  <sheetFormatPr defaultRowHeight="14.4" x14ac:dyDescent="0.3"/>
  <cols>
    <col min="1" max="1" width="12.6640625" bestFit="1" customWidth="1"/>
    <col min="2" max="2" width="12.109375" bestFit="1" customWidth="1"/>
    <col min="3" max="3" width="17.6640625" bestFit="1" customWidth="1"/>
    <col min="4" max="4" width="10.6640625" bestFit="1" customWidth="1"/>
    <col min="5" max="5" width="12.6640625" bestFit="1" customWidth="1"/>
    <col min="6" max="7" width="24" bestFit="1" customWidth="1"/>
    <col min="8" max="8" width="12.6640625" bestFit="1" customWidth="1"/>
    <col min="9" max="9" width="14.88671875" bestFit="1" customWidth="1"/>
    <col min="10" max="10" width="17.6640625" bestFit="1" customWidth="1"/>
    <col min="11" max="11" width="14.44140625" bestFit="1" customWidth="1"/>
    <col min="12" max="12" width="13.6640625" bestFit="1" customWidth="1"/>
    <col min="13" max="13" width="19.77734375" bestFit="1" customWidth="1"/>
    <col min="14" max="14" width="13.6640625" bestFit="1" customWidth="1"/>
    <col min="15" max="15" width="24.88671875" bestFit="1" customWidth="1"/>
    <col min="16" max="16" width="14.44140625" bestFit="1" customWidth="1"/>
    <col min="17" max="17" width="17.6640625" bestFit="1" customWidth="1"/>
    <col min="18" max="18" width="12.109375" bestFit="1" customWidth="1"/>
    <col min="20" max="20" width="18.6640625" bestFit="1" customWidth="1"/>
    <col min="21" max="21" width="17.6640625" bestFit="1" customWidth="1"/>
    <col min="22" max="22" width="12.109375" bestFit="1" customWidth="1"/>
  </cols>
  <sheetData>
    <row r="1" spans="1:21" x14ac:dyDescent="0.3">
      <c r="A1" s="23" t="s">
        <v>33</v>
      </c>
      <c r="B1" s="23"/>
      <c r="C1" s="23"/>
      <c r="D1" s="23"/>
      <c r="E1" s="23"/>
      <c r="F1" s="23"/>
      <c r="G1" s="23"/>
      <c r="H1" s="23"/>
      <c r="I1" s="23"/>
      <c r="J1" s="23"/>
      <c r="K1" s="23"/>
    </row>
    <row r="2" spans="1:21" x14ac:dyDescent="0.3">
      <c r="A2" s="24" t="s">
        <v>34</v>
      </c>
      <c r="B2" s="24"/>
      <c r="C2" s="24"/>
    </row>
    <row r="3" spans="1:21" x14ac:dyDescent="0.3">
      <c r="A3" t="s">
        <v>22</v>
      </c>
      <c r="C3" t="s">
        <v>32</v>
      </c>
      <c r="D3" t="s">
        <v>35</v>
      </c>
      <c r="F3" t="str">
        <f t="shared" ref="F3" si="0">A3</f>
        <v>Sum of Impressions</v>
      </c>
      <c r="G3" t="str">
        <f>A9</f>
        <v>Average of ROI</v>
      </c>
    </row>
    <row r="4" spans="1:21" x14ac:dyDescent="0.3">
      <c r="A4" s="3">
        <v>70210489</v>
      </c>
      <c r="C4" s="3">
        <v>8004980</v>
      </c>
      <c r="D4" s="6">
        <v>11.401401861764558</v>
      </c>
      <c r="F4" s="3">
        <f>A4</f>
        <v>70210489</v>
      </c>
      <c r="G4" s="6">
        <f>A10</f>
        <v>3.2740259740259772</v>
      </c>
      <c r="I4" s="4"/>
      <c r="J4" s="6"/>
    </row>
    <row r="5" spans="1:21" x14ac:dyDescent="0.3">
      <c r="I5" s="1" t="s">
        <v>47</v>
      </c>
      <c r="J5" t="s">
        <v>9</v>
      </c>
      <c r="K5" t="s">
        <v>38</v>
      </c>
      <c r="M5" s="1" t="s">
        <v>47</v>
      </c>
      <c r="N5" t="s">
        <v>37</v>
      </c>
      <c r="P5" s="1" t="s">
        <v>48</v>
      </c>
      <c r="Q5" t="s">
        <v>37</v>
      </c>
      <c r="T5" s="1" t="s">
        <v>48</v>
      </c>
      <c r="U5" t="s">
        <v>37</v>
      </c>
    </row>
    <row r="6" spans="1:21" x14ac:dyDescent="0.3">
      <c r="A6" t="s">
        <v>37</v>
      </c>
      <c r="C6" t="s">
        <v>9</v>
      </c>
      <c r="E6" t="str">
        <f>C3</f>
        <v>Sum of Clicks</v>
      </c>
      <c r="F6" t="str">
        <f>D3</f>
        <v>Sum of CTR</v>
      </c>
      <c r="I6" s="2" t="s">
        <v>26</v>
      </c>
      <c r="J6" s="4">
        <v>392705</v>
      </c>
      <c r="K6" s="6">
        <v>3.2806763285024161</v>
      </c>
      <c r="M6" s="2" t="s">
        <v>26</v>
      </c>
      <c r="N6" s="6">
        <v>7.6420289855072427</v>
      </c>
      <c r="P6" s="2" t="s">
        <v>26</v>
      </c>
      <c r="Q6" s="6">
        <v>7.6420289855072427</v>
      </c>
      <c r="T6" s="2" t="s">
        <v>24</v>
      </c>
      <c r="U6" s="6">
        <v>7.4237837837837892</v>
      </c>
    </row>
    <row r="7" spans="1:21" x14ac:dyDescent="0.3">
      <c r="A7" s="15">
        <v>7.5568431568431569</v>
      </c>
      <c r="C7" s="3">
        <v>1908656</v>
      </c>
      <c r="E7" s="3">
        <f>C4</f>
        <v>8004980</v>
      </c>
      <c r="F7" s="6">
        <f>D4</f>
        <v>11.401401861764558</v>
      </c>
      <c r="I7" s="2" t="s">
        <v>1</v>
      </c>
      <c r="J7" s="4">
        <v>389975</v>
      </c>
      <c r="K7" s="6">
        <v>3.290099009900989</v>
      </c>
      <c r="M7" s="2" t="s">
        <v>1</v>
      </c>
      <c r="N7" s="6">
        <v>7.1633663366336648</v>
      </c>
      <c r="P7" s="2" t="s">
        <v>1</v>
      </c>
      <c r="Q7" s="6">
        <v>7.1633663366336648</v>
      </c>
      <c r="T7" s="2" t="s">
        <v>27</v>
      </c>
      <c r="U7" s="6">
        <v>7.6964601769911543</v>
      </c>
    </row>
    <row r="8" spans="1:21" x14ac:dyDescent="0.3">
      <c r="I8" s="2" t="s">
        <v>5</v>
      </c>
      <c r="J8" s="4">
        <v>433410</v>
      </c>
      <c r="K8" s="6">
        <v>3.157589285714284</v>
      </c>
      <c r="M8" s="2" t="s">
        <v>5</v>
      </c>
      <c r="N8" s="6">
        <v>7.4986607142857213</v>
      </c>
      <c r="P8" s="2" t="s">
        <v>5</v>
      </c>
      <c r="Q8" s="6">
        <v>7.4986607142857213</v>
      </c>
      <c r="T8" s="2" t="s">
        <v>23</v>
      </c>
      <c r="U8" s="6">
        <v>7.6146464646464604</v>
      </c>
    </row>
    <row r="9" spans="1:21" x14ac:dyDescent="0.3">
      <c r="A9" t="s">
        <v>38</v>
      </c>
      <c r="C9" t="s">
        <v>42</v>
      </c>
      <c r="E9" t="str">
        <f t="shared" ref="E9" si="1">C9</f>
        <v>T-Engagement_Score</v>
      </c>
      <c r="I9" s="2" t="s">
        <v>30</v>
      </c>
      <c r="J9" s="4">
        <v>326070</v>
      </c>
      <c r="K9" s="6">
        <v>3.4022988505747112</v>
      </c>
      <c r="M9" s="2" t="s">
        <v>30</v>
      </c>
      <c r="N9" s="6">
        <v>7.7413793103448238</v>
      </c>
      <c r="P9" s="2" t="s">
        <v>30</v>
      </c>
      <c r="Q9" s="6">
        <v>7.7413793103448238</v>
      </c>
      <c r="T9" s="2" t="s">
        <v>25</v>
      </c>
      <c r="U9" s="6">
        <v>7.6074712643678177</v>
      </c>
    </row>
    <row r="10" spans="1:21" x14ac:dyDescent="0.3">
      <c r="A10" s="6">
        <v>3.2740259740259772</v>
      </c>
      <c r="C10" s="4">
        <v>75600</v>
      </c>
      <c r="E10" s="4">
        <f>C10</f>
        <v>75600</v>
      </c>
      <c r="I10" s="2" t="s">
        <v>2</v>
      </c>
      <c r="J10" s="4">
        <v>366496</v>
      </c>
      <c r="K10" s="6">
        <v>3.2695876288659784</v>
      </c>
      <c r="M10" s="2" t="s">
        <v>2</v>
      </c>
      <c r="N10" s="6">
        <v>7.7773195876288659</v>
      </c>
      <c r="P10" s="2" t="s">
        <v>2</v>
      </c>
      <c r="Q10" s="6">
        <v>7.7773195876288659</v>
      </c>
      <c r="T10" s="2" t="s">
        <v>29</v>
      </c>
      <c r="U10" s="6">
        <v>7.4321100917431178</v>
      </c>
    </row>
    <row r="11" spans="1:21" x14ac:dyDescent="0.3">
      <c r="I11" s="2" t="s">
        <v>8</v>
      </c>
      <c r="J11" s="4">
        <v>1908656</v>
      </c>
      <c r="K11" s="6">
        <v>3.2740259740259767</v>
      </c>
      <c r="M11" s="2" t="s">
        <v>8</v>
      </c>
      <c r="N11" s="6">
        <v>7.5568431568431462</v>
      </c>
      <c r="P11" s="2" t="s">
        <v>8</v>
      </c>
      <c r="Q11" s="6">
        <v>7.5568431568431462</v>
      </c>
      <c r="T11" s="2" t="s">
        <v>8</v>
      </c>
      <c r="U11" s="6">
        <v>7.5568431568431578</v>
      </c>
    </row>
    <row r="12" spans="1:21" x14ac:dyDescent="0.3">
      <c r="A12" s="1" t="s">
        <v>7</v>
      </c>
      <c r="B12" t="s">
        <v>38</v>
      </c>
      <c r="C12" t="s">
        <v>9</v>
      </c>
      <c r="E12" t="str">
        <f>A6</f>
        <v>Average of Conversion_Rate</v>
      </c>
    </row>
    <row r="13" spans="1:21" x14ac:dyDescent="0.3">
      <c r="A13" s="2" t="s">
        <v>10</v>
      </c>
      <c r="B13" s="6">
        <v>3.2482758620689665</v>
      </c>
      <c r="C13" s="4">
        <v>168368</v>
      </c>
      <c r="E13" s="15">
        <f>A7</f>
        <v>7.5568431568431569</v>
      </c>
    </row>
    <row r="14" spans="1:21" x14ac:dyDescent="0.3">
      <c r="A14" s="2" t="s">
        <v>11</v>
      </c>
      <c r="B14" s="6">
        <v>3.2647619047619059</v>
      </c>
      <c r="C14" s="4">
        <v>200927</v>
      </c>
      <c r="I14" s="1" t="s">
        <v>47</v>
      </c>
      <c r="J14" t="s">
        <v>22</v>
      </c>
      <c r="K14" t="s">
        <v>32</v>
      </c>
      <c r="M14" s="1" t="s">
        <v>47</v>
      </c>
      <c r="N14" t="s">
        <v>39</v>
      </c>
      <c r="P14" s="1" t="s">
        <v>48</v>
      </c>
      <c r="Q14" t="s">
        <v>39</v>
      </c>
      <c r="T14" s="1" t="s">
        <v>48</v>
      </c>
      <c r="U14" t="s">
        <v>39</v>
      </c>
    </row>
    <row r="15" spans="1:21" x14ac:dyDescent="0.3">
      <c r="A15" s="2" t="s">
        <v>12</v>
      </c>
      <c r="B15" s="6">
        <v>3.4840579710144937</v>
      </c>
      <c r="C15" s="4">
        <v>136743</v>
      </c>
      <c r="I15" s="2" t="s">
        <v>26</v>
      </c>
      <c r="J15" s="5">
        <v>0.20194183521496339</v>
      </c>
      <c r="K15" s="5">
        <v>0.209146181502015</v>
      </c>
      <c r="M15" s="2" t="s">
        <v>26</v>
      </c>
      <c r="N15">
        <v>15639</v>
      </c>
      <c r="P15" s="2" t="s">
        <v>1</v>
      </c>
      <c r="Q15" s="4">
        <v>13966</v>
      </c>
      <c r="T15" s="2" t="s">
        <v>24</v>
      </c>
      <c r="U15" s="4">
        <v>13907</v>
      </c>
    </row>
    <row r="16" spans="1:21" x14ac:dyDescent="0.3">
      <c r="A16" s="2" t="s">
        <v>13</v>
      </c>
      <c r="B16" s="6">
        <v>3.285000000000001</v>
      </c>
      <c r="C16" s="4">
        <v>152168</v>
      </c>
      <c r="I16" s="2" t="s">
        <v>1</v>
      </c>
      <c r="J16" s="5">
        <v>0.21029111476491782</v>
      </c>
      <c r="K16" s="5">
        <v>0.20074191315905848</v>
      </c>
      <c r="M16" s="2" t="s">
        <v>1</v>
      </c>
      <c r="N16">
        <v>15386</v>
      </c>
      <c r="P16" s="2" t="s">
        <v>31</v>
      </c>
      <c r="Q16" s="4">
        <v>11467</v>
      </c>
      <c r="T16" s="2" t="s">
        <v>27</v>
      </c>
      <c r="U16" s="4">
        <v>17234</v>
      </c>
    </row>
    <row r="17" spans="1:22" x14ac:dyDescent="0.3">
      <c r="A17" s="2" t="s">
        <v>14</v>
      </c>
      <c r="B17" s="6">
        <v>3.2536231884057982</v>
      </c>
      <c r="C17" s="4">
        <v>134035</v>
      </c>
      <c r="I17" s="2" t="s">
        <v>5</v>
      </c>
      <c r="J17" s="5">
        <v>0.22212330696058818</v>
      </c>
      <c r="K17" s="5">
        <v>0.22878520620913481</v>
      </c>
      <c r="M17" s="2" t="s">
        <v>5</v>
      </c>
      <c r="N17">
        <v>16894</v>
      </c>
      <c r="P17" s="2" t="s">
        <v>4</v>
      </c>
      <c r="Q17" s="4">
        <v>12395</v>
      </c>
      <c r="T17" s="2" t="s">
        <v>23</v>
      </c>
      <c r="U17" s="4">
        <v>14777</v>
      </c>
    </row>
    <row r="18" spans="1:22" x14ac:dyDescent="0.3">
      <c r="A18" s="2" t="s">
        <v>15</v>
      </c>
      <c r="B18" s="6">
        <v>3.3138888888888882</v>
      </c>
      <c r="C18" s="4">
        <v>136673</v>
      </c>
      <c r="I18" s="2" t="s">
        <v>30</v>
      </c>
      <c r="J18" s="5">
        <v>0.17134431295586047</v>
      </c>
      <c r="K18" s="5">
        <v>0.16830048294936403</v>
      </c>
      <c r="M18" s="2" t="s">
        <v>30</v>
      </c>
      <c r="N18">
        <v>13186</v>
      </c>
      <c r="P18" s="2" t="s">
        <v>3</v>
      </c>
      <c r="Q18" s="4">
        <v>14211</v>
      </c>
      <c r="T18" s="2" t="s">
        <v>25</v>
      </c>
      <c r="U18" s="4">
        <v>12881</v>
      </c>
    </row>
    <row r="19" spans="1:22" x14ac:dyDescent="0.3">
      <c r="A19" s="2" t="s">
        <v>16</v>
      </c>
      <c r="B19" s="6">
        <v>3.2000000000000015</v>
      </c>
      <c r="C19" s="4">
        <v>169806</v>
      </c>
      <c r="I19" s="2" t="s">
        <v>2</v>
      </c>
      <c r="J19" s="5">
        <v>0.19429943010367012</v>
      </c>
      <c r="K19" s="5">
        <v>0.19302621618042767</v>
      </c>
      <c r="M19" s="2" t="s">
        <v>2</v>
      </c>
      <c r="N19">
        <v>14495</v>
      </c>
      <c r="P19" s="2" t="s">
        <v>28</v>
      </c>
      <c r="Q19" s="4">
        <v>10922</v>
      </c>
      <c r="T19" s="2" t="s">
        <v>29</v>
      </c>
      <c r="U19" s="4">
        <v>16801</v>
      </c>
    </row>
    <row r="20" spans="1:22" x14ac:dyDescent="0.3">
      <c r="A20" s="2" t="s">
        <v>17</v>
      </c>
      <c r="B20" s="6">
        <v>3.2989010989011014</v>
      </c>
      <c r="C20" s="4">
        <v>165354</v>
      </c>
      <c r="I20" s="2" t="s">
        <v>8</v>
      </c>
      <c r="J20" s="5">
        <v>1</v>
      </c>
      <c r="K20" s="5">
        <v>1</v>
      </c>
      <c r="M20" s="2" t="s">
        <v>8</v>
      </c>
      <c r="N20">
        <v>75600</v>
      </c>
      <c r="P20" s="2" t="s">
        <v>6</v>
      </c>
      <c r="Q20" s="4">
        <v>12639</v>
      </c>
      <c r="T20" s="2" t="s">
        <v>8</v>
      </c>
      <c r="U20" s="4">
        <v>75600</v>
      </c>
    </row>
    <row r="21" spans="1:22" x14ac:dyDescent="0.3">
      <c r="A21" s="2" t="s">
        <v>18</v>
      </c>
      <c r="B21" s="6">
        <v>3.1999999999999993</v>
      </c>
      <c r="C21" s="4">
        <v>178664</v>
      </c>
      <c r="P21" s="2" t="s">
        <v>8</v>
      </c>
      <c r="Q21" s="4">
        <v>75600</v>
      </c>
    </row>
    <row r="22" spans="1:22" x14ac:dyDescent="0.3">
      <c r="A22" s="2" t="s">
        <v>19</v>
      </c>
      <c r="B22" s="6">
        <v>3.3551282051282052</v>
      </c>
      <c r="C22" s="4">
        <v>149244</v>
      </c>
      <c r="P22" s="1" t="s">
        <v>48</v>
      </c>
      <c r="Q22" t="s">
        <v>22</v>
      </c>
      <c r="R22" t="s">
        <v>32</v>
      </c>
      <c r="T22" s="1" t="s">
        <v>48</v>
      </c>
      <c r="U22" t="s">
        <v>22</v>
      </c>
      <c r="V22" t="s">
        <v>32</v>
      </c>
    </row>
    <row r="23" spans="1:22" x14ac:dyDescent="0.3">
      <c r="A23" s="2" t="s">
        <v>20</v>
      </c>
      <c r="B23" s="6">
        <v>3.3142857142857145</v>
      </c>
      <c r="C23" s="4">
        <v>145464</v>
      </c>
      <c r="K23" s="1" t="s">
        <v>48</v>
      </c>
      <c r="L23" t="s">
        <v>38</v>
      </c>
      <c r="M23" s="1" t="s">
        <v>49</v>
      </c>
      <c r="N23" t="s">
        <v>38</v>
      </c>
      <c r="P23" s="2" t="s">
        <v>1</v>
      </c>
      <c r="Q23" s="3">
        <v>13006578</v>
      </c>
      <c r="R23" s="6">
        <v>1517175</v>
      </c>
      <c r="T23" s="2" t="s">
        <v>24</v>
      </c>
      <c r="U23" s="3">
        <v>12396913</v>
      </c>
      <c r="V23" s="4">
        <v>1497706</v>
      </c>
    </row>
    <row r="24" spans="1:22" x14ac:dyDescent="0.3">
      <c r="A24" s="2" t="s">
        <v>21</v>
      </c>
      <c r="B24" s="6">
        <v>3.144565217391305</v>
      </c>
      <c r="C24" s="4">
        <v>171210</v>
      </c>
      <c r="K24" s="2" t="s">
        <v>1</v>
      </c>
      <c r="L24" s="6">
        <v>3.1875000000000013</v>
      </c>
      <c r="M24" s="2" t="s">
        <v>24</v>
      </c>
      <c r="N24" s="6">
        <v>3.2183783783783775</v>
      </c>
      <c r="P24" s="2" t="s">
        <v>31</v>
      </c>
      <c r="Q24" s="3">
        <v>9718987</v>
      </c>
      <c r="R24" s="6">
        <v>1299233</v>
      </c>
      <c r="T24" s="2" t="s">
        <v>27</v>
      </c>
      <c r="U24" s="3">
        <v>15724953</v>
      </c>
      <c r="V24" s="4">
        <v>1764182</v>
      </c>
    </row>
    <row r="25" spans="1:22" x14ac:dyDescent="0.3">
      <c r="A25" s="2" t="s">
        <v>8</v>
      </c>
      <c r="B25" s="6">
        <v>3.2740259740259772</v>
      </c>
      <c r="C25" s="6">
        <v>1908656</v>
      </c>
      <c r="K25" s="2" t="s">
        <v>31</v>
      </c>
      <c r="L25" s="6">
        <v>3.25032679738562</v>
      </c>
      <c r="M25" s="2" t="s">
        <v>27</v>
      </c>
      <c r="N25" s="6">
        <v>3.2004424778761056</v>
      </c>
      <c r="P25" s="2" t="s">
        <v>4</v>
      </c>
      <c r="Q25" s="3">
        <v>11900912</v>
      </c>
      <c r="R25" s="6">
        <v>1272466</v>
      </c>
      <c r="T25" s="2" t="s">
        <v>23</v>
      </c>
      <c r="U25" s="3">
        <v>14505307</v>
      </c>
      <c r="V25" s="4">
        <v>1587154</v>
      </c>
    </row>
    <row r="26" spans="1:22" x14ac:dyDescent="0.3">
      <c r="K26" s="2" t="s">
        <v>4</v>
      </c>
      <c r="L26" s="6">
        <v>3.3150602409638545</v>
      </c>
      <c r="M26" s="2" t="s">
        <v>23</v>
      </c>
      <c r="N26" s="6">
        <v>3.3616161616161602</v>
      </c>
      <c r="P26" s="2" t="s">
        <v>3</v>
      </c>
      <c r="Q26" s="3">
        <v>13395141</v>
      </c>
      <c r="R26" s="6">
        <v>1453343</v>
      </c>
      <c r="T26" s="2" t="s">
        <v>25</v>
      </c>
      <c r="U26" s="3">
        <v>12395290</v>
      </c>
      <c r="V26" s="4">
        <v>1408683</v>
      </c>
    </row>
    <row r="27" spans="1:22" x14ac:dyDescent="0.3">
      <c r="A27" s="1" t="s">
        <v>7</v>
      </c>
      <c r="B27" t="s">
        <v>32</v>
      </c>
      <c r="C27" t="s">
        <v>22</v>
      </c>
      <c r="E27" s="1" t="s">
        <v>7</v>
      </c>
      <c r="F27" t="s">
        <v>39</v>
      </c>
      <c r="H27" s="1" t="s">
        <v>7</v>
      </c>
      <c r="I27" t="s">
        <v>36</v>
      </c>
      <c r="K27" s="2" t="s">
        <v>3</v>
      </c>
      <c r="L27" s="6">
        <v>3.2303191489361698</v>
      </c>
      <c r="M27" s="2" t="s">
        <v>25</v>
      </c>
      <c r="N27" s="6">
        <v>3.3040229885057464</v>
      </c>
      <c r="P27" s="2" t="s">
        <v>28</v>
      </c>
      <c r="Q27" s="3">
        <v>10045150</v>
      </c>
      <c r="R27" s="6">
        <v>1131739</v>
      </c>
      <c r="T27" s="2" t="s">
        <v>29</v>
      </c>
      <c r="U27" s="3">
        <v>15188026</v>
      </c>
      <c r="V27" s="4">
        <v>1747255</v>
      </c>
    </row>
    <row r="28" spans="1:22" x14ac:dyDescent="0.3">
      <c r="A28" s="2" t="s">
        <v>10</v>
      </c>
      <c r="B28" s="4">
        <v>744528</v>
      </c>
      <c r="C28" s="19">
        <v>5612839</v>
      </c>
      <c r="E28" s="2" t="s">
        <v>10</v>
      </c>
      <c r="F28" s="4">
        <v>6614</v>
      </c>
      <c r="H28" s="2" t="s">
        <v>10</v>
      </c>
      <c r="I28" s="5">
        <v>8.6907091110993581E-2</v>
      </c>
      <c r="K28" s="2" t="s">
        <v>28</v>
      </c>
      <c r="L28" s="6">
        <v>3.3076923076923075</v>
      </c>
      <c r="M28" s="2" t="s">
        <v>29</v>
      </c>
      <c r="N28" s="6">
        <v>3.2940366972477064</v>
      </c>
      <c r="P28" s="2" t="s">
        <v>6</v>
      </c>
      <c r="Q28" s="3">
        <v>12143721</v>
      </c>
      <c r="R28" s="6">
        <v>1331024</v>
      </c>
      <c r="T28" s="2" t="s">
        <v>8</v>
      </c>
      <c r="U28" s="3">
        <v>70210489</v>
      </c>
      <c r="V28" s="4">
        <v>8004980</v>
      </c>
    </row>
    <row r="29" spans="1:22" x14ac:dyDescent="0.3">
      <c r="A29" s="2" t="s">
        <v>11</v>
      </c>
      <c r="B29" s="4">
        <v>826094</v>
      </c>
      <c r="C29" s="19">
        <v>7177135</v>
      </c>
      <c r="E29" s="2" t="s">
        <v>11</v>
      </c>
      <c r="F29" s="4">
        <v>7840</v>
      </c>
      <c r="H29" s="2" t="s">
        <v>11</v>
      </c>
      <c r="I29" s="5">
        <v>0.10248003807307911</v>
      </c>
      <c r="K29" s="2" t="s">
        <v>6</v>
      </c>
      <c r="L29" s="6">
        <v>3.3706586826347298</v>
      </c>
      <c r="M29" s="2" t="s">
        <v>8</v>
      </c>
      <c r="N29" s="6">
        <v>3.2740259740259723</v>
      </c>
      <c r="P29" s="2" t="s">
        <v>8</v>
      </c>
      <c r="Q29" s="6">
        <v>70210489</v>
      </c>
      <c r="R29" s="6">
        <v>8004980</v>
      </c>
    </row>
    <row r="30" spans="1:22" x14ac:dyDescent="0.3">
      <c r="A30" s="2" t="s">
        <v>12</v>
      </c>
      <c r="B30" s="4">
        <v>549808</v>
      </c>
      <c r="C30" s="19">
        <v>4941324</v>
      </c>
      <c r="E30" s="2" t="s">
        <v>12</v>
      </c>
      <c r="F30" s="4">
        <v>5204</v>
      </c>
      <c r="H30" s="2" t="s">
        <v>12</v>
      </c>
      <c r="I30" s="5">
        <v>7.0131140605996525E-2</v>
      </c>
      <c r="K30" s="2" t="s">
        <v>8</v>
      </c>
      <c r="L30" s="6">
        <v>3.2740259740259714</v>
      </c>
    </row>
    <row r="31" spans="1:22" x14ac:dyDescent="0.3">
      <c r="A31" s="2" t="s">
        <v>13</v>
      </c>
      <c r="B31" s="4">
        <v>661143</v>
      </c>
      <c r="C31" s="19">
        <v>6180533</v>
      </c>
      <c r="E31" s="2" t="s">
        <v>13</v>
      </c>
      <c r="F31" s="4">
        <v>6062</v>
      </c>
      <c r="H31" s="2" t="s">
        <v>13</v>
      </c>
      <c r="I31" s="5">
        <v>8.2504891333086569E-2</v>
      </c>
    </row>
    <row r="32" spans="1:22" x14ac:dyDescent="0.3">
      <c r="A32" s="2" t="s">
        <v>14</v>
      </c>
      <c r="B32" s="4">
        <v>500675</v>
      </c>
      <c r="C32" s="19">
        <v>4835250</v>
      </c>
      <c r="E32" s="2" t="s">
        <v>14</v>
      </c>
      <c r="F32" s="4">
        <v>5172</v>
      </c>
      <c r="H32" s="2" t="s">
        <v>14</v>
      </c>
      <c r="I32" s="5">
        <v>6.9615567659034427E-2</v>
      </c>
    </row>
    <row r="33" spans="1:9" x14ac:dyDescent="0.3">
      <c r="A33" s="2" t="s">
        <v>15</v>
      </c>
      <c r="B33" s="4">
        <v>592471</v>
      </c>
      <c r="C33" s="19">
        <v>4837442</v>
      </c>
      <c r="E33" s="2" t="s">
        <v>15</v>
      </c>
      <c r="F33" s="4">
        <v>5410</v>
      </c>
      <c r="H33" s="2" t="s">
        <v>15</v>
      </c>
      <c r="I33" s="5">
        <v>7.2418169319443726E-2</v>
      </c>
    </row>
    <row r="34" spans="1:9" x14ac:dyDescent="0.3">
      <c r="A34" s="2" t="s">
        <v>16</v>
      </c>
      <c r="B34" s="4">
        <v>754919</v>
      </c>
      <c r="C34" s="19">
        <v>6099383</v>
      </c>
      <c r="E34" s="2" t="s">
        <v>16</v>
      </c>
      <c r="F34" s="4">
        <v>6743</v>
      </c>
      <c r="H34" s="2" t="s">
        <v>16</v>
      </c>
      <c r="I34" s="5">
        <v>8.7792818994236202E-2</v>
      </c>
    </row>
    <row r="35" spans="1:9" x14ac:dyDescent="0.3">
      <c r="A35" s="2" t="s">
        <v>17</v>
      </c>
      <c r="B35" s="4">
        <v>781660</v>
      </c>
      <c r="C35" s="19">
        <v>6587523</v>
      </c>
      <c r="E35" s="2" t="s">
        <v>17</v>
      </c>
      <c r="F35" s="4">
        <v>7036</v>
      </c>
      <c r="H35" s="2" t="s">
        <v>17</v>
      </c>
      <c r="I35" s="5">
        <v>9.1864523293321329E-2</v>
      </c>
    </row>
    <row r="36" spans="1:9" x14ac:dyDescent="0.3">
      <c r="A36" s="2" t="s">
        <v>18</v>
      </c>
      <c r="B36" s="4">
        <v>686038</v>
      </c>
      <c r="C36" s="19">
        <v>6714208</v>
      </c>
      <c r="E36" s="2" t="s">
        <v>18</v>
      </c>
      <c r="F36" s="4">
        <v>6881</v>
      </c>
      <c r="H36" s="2" t="s">
        <v>18</v>
      </c>
      <c r="I36" s="5">
        <v>9.1930622389085698E-2</v>
      </c>
    </row>
    <row r="37" spans="1:9" x14ac:dyDescent="0.3">
      <c r="A37" s="2" t="s">
        <v>19</v>
      </c>
      <c r="B37" s="4">
        <v>671882</v>
      </c>
      <c r="C37" s="19">
        <v>5375043</v>
      </c>
      <c r="E37" s="2" t="s">
        <v>19</v>
      </c>
      <c r="F37" s="4">
        <v>6071</v>
      </c>
      <c r="H37" s="2" t="s">
        <v>19</v>
      </c>
      <c r="I37" s="5">
        <v>8.1539844534926742E-2</v>
      </c>
    </row>
    <row r="38" spans="1:9" x14ac:dyDescent="0.3">
      <c r="A38" s="2" t="s">
        <v>20</v>
      </c>
      <c r="B38" s="4">
        <v>553496</v>
      </c>
      <c r="C38" s="19">
        <v>5163139</v>
      </c>
      <c r="E38" s="2" t="s">
        <v>20</v>
      </c>
      <c r="F38" s="4">
        <v>5810</v>
      </c>
      <c r="H38" s="2" t="s">
        <v>20</v>
      </c>
      <c r="I38" s="5">
        <v>7.7084765480408227E-2</v>
      </c>
    </row>
    <row r="39" spans="1:9" x14ac:dyDescent="0.3">
      <c r="A39" s="2" t="s">
        <v>21</v>
      </c>
      <c r="B39" s="4">
        <v>682266</v>
      </c>
      <c r="C39" s="19">
        <v>6686670</v>
      </c>
      <c r="E39" s="2" t="s">
        <v>21</v>
      </c>
      <c r="F39" s="4">
        <v>6757</v>
      </c>
      <c r="H39" s="2" t="s">
        <v>21</v>
      </c>
      <c r="I39" s="5">
        <v>8.5730527206387852E-2</v>
      </c>
    </row>
    <row r="40" spans="1:9" x14ac:dyDescent="0.3">
      <c r="A40" s="2" t="s">
        <v>8</v>
      </c>
      <c r="B40" s="6">
        <v>8004980</v>
      </c>
      <c r="C40" s="6">
        <v>70210489</v>
      </c>
      <c r="E40" s="2" t="s">
        <v>8</v>
      </c>
      <c r="F40" s="6">
        <v>75600</v>
      </c>
      <c r="H40" s="2" t="s">
        <v>8</v>
      </c>
      <c r="I40" s="5">
        <v>1</v>
      </c>
    </row>
  </sheetData>
  <mergeCells count="2">
    <mergeCell ref="A1:K1"/>
    <mergeCell ref="A2:C2"/>
  </mergeCells>
  <pageMargins left="0.7" right="0.7" top="0.75" bottom="0.75" header="0.3" footer="0.3"/>
  <drawing r:id="rId23"/>
  <extLst>
    <ext xmlns:x14="http://schemas.microsoft.com/office/spreadsheetml/2009/9/main" uri="{A8765BA9-456A-4dab-B4F3-ACF838C121DE}">
      <x14:slicerList>
        <x14:slicer r:id="rId2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DE11E-8891-41C0-A89F-0B114CAF4AC6}">
  <dimension ref="I1:W12"/>
  <sheetViews>
    <sheetView zoomScale="59" workbookViewId="0"/>
  </sheetViews>
  <sheetFormatPr defaultRowHeight="14.4" x14ac:dyDescent="0.3"/>
  <cols>
    <col min="1" max="16384" width="8.88671875" style="7"/>
  </cols>
  <sheetData>
    <row r="1" spans="9:23" s="8" customFormat="1" x14ac:dyDescent="0.3"/>
    <row r="2" spans="9:23" s="8" customFormat="1" ht="23.4" x14ac:dyDescent="0.45">
      <c r="J2" s="13" t="s">
        <v>40</v>
      </c>
      <c r="K2" s="11"/>
      <c r="L2" s="9"/>
      <c r="M2" s="14" t="s">
        <v>43</v>
      </c>
      <c r="O2" s="13" t="s">
        <v>44</v>
      </c>
      <c r="P2" s="16"/>
      <c r="Q2" s="17" t="s">
        <v>45</v>
      </c>
      <c r="R2" s="11"/>
      <c r="T2" s="18" t="s">
        <v>0</v>
      </c>
      <c r="W2" s="12" t="s">
        <v>46</v>
      </c>
    </row>
    <row r="3" spans="9:23" s="8" customFormat="1" x14ac:dyDescent="0.3">
      <c r="M3" s="8" t="s">
        <v>41</v>
      </c>
    </row>
    <row r="4" spans="9:23" s="8" customFormat="1" x14ac:dyDescent="0.3"/>
    <row r="5" spans="9:23" s="8" customFormat="1" x14ac:dyDescent="0.3"/>
    <row r="6" spans="9:23" s="8" customFormat="1" x14ac:dyDescent="0.3"/>
    <row r="12" spans="9:23" ht="18" x14ac:dyDescent="0.35">
      <c r="I12"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4DA8-CB55-4ABF-A2FE-265C93F1F64A}">
  <dimension ref="I1:W12"/>
  <sheetViews>
    <sheetView zoomScale="81" workbookViewId="0"/>
  </sheetViews>
  <sheetFormatPr defaultRowHeight="14.4" x14ac:dyDescent="0.3"/>
  <cols>
    <col min="1" max="16384" width="8.88671875" style="7"/>
  </cols>
  <sheetData>
    <row r="1" spans="9:23" s="8" customFormat="1" x14ac:dyDescent="0.3"/>
    <row r="2" spans="9:23" s="8" customFormat="1" ht="23.4" x14ac:dyDescent="0.45">
      <c r="J2" s="13" t="s">
        <v>40</v>
      </c>
      <c r="K2" s="11"/>
      <c r="L2" s="9"/>
      <c r="M2" s="14" t="s">
        <v>43</v>
      </c>
      <c r="O2" s="13" t="s">
        <v>44</v>
      </c>
      <c r="P2" s="16"/>
      <c r="Q2" s="17" t="s">
        <v>45</v>
      </c>
      <c r="R2" s="11"/>
      <c r="T2" s="18" t="s">
        <v>0</v>
      </c>
      <c r="W2" s="12" t="s">
        <v>46</v>
      </c>
    </row>
    <row r="3" spans="9:23" s="8" customFormat="1" x14ac:dyDescent="0.3">
      <c r="M3" s="8" t="s">
        <v>41</v>
      </c>
    </row>
    <row r="4" spans="9:23" s="8" customFormat="1" x14ac:dyDescent="0.3"/>
    <row r="5" spans="9:23" s="8" customFormat="1" x14ac:dyDescent="0.3"/>
    <row r="6" spans="9:23" s="8" customFormat="1" x14ac:dyDescent="0.3"/>
    <row r="12" spans="9:23" ht="18" x14ac:dyDescent="0.35">
      <c r="I12"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C8FD1-78E3-471F-A307-8272DF670AEA}">
  <dimension ref="E1:AC26"/>
  <sheetViews>
    <sheetView zoomScale="63" workbookViewId="0"/>
  </sheetViews>
  <sheetFormatPr defaultRowHeight="14.4" x14ac:dyDescent="0.3"/>
  <cols>
    <col min="1" max="4" width="8.88671875" style="7"/>
    <col min="5" max="5" width="8.88671875" style="21"/>
    <col min="6" max="16384" width="8.88671875" style="7"/>
  </cols>
  <sheetData>
    <row r="1" spans="5:23" s="8" customFormat="1" x14ac:dyDescent="0.3">
      <c r="E1" s="20"/>
    </row>
    <row r="2" spans="5:23" s="8" customFormat="1" ht="23.4" x14ac:dyDescent="0.45">
      <c r="E2" s="20"/>
      <c r="J2" s="13" t="s">
        <v>40</v>
      </c>
      <c r="K2" s="11"/>
      <c r="L2" s="9"/>
      <c r="M2" s="14" t="s">
        <v>43</v>
      </c>
      <c r="O2" s="13" t="s">
        <v>44</v>
      </c>
      <c r="P2" s="16"/>
      <c r="Q2" s="17" t="s">
        <v>45</v>
      </c>
      <c r="R2" s="11"/>
      <c r="T2" s="18" t="s">
        <v>0</v>
      </c>
      <c r="W2" s="12" t="s">
        <v>46</v>
      </c>
    </row>
    <row r="3" spans="5:23" s="8" customFormat="1" x14ac:dyDescent="0.3">
      <c r="E3" s="20"/>
      <c r="M3" s="8" t="s">
        <v>41</v>
      </c>
    </row>
    <row r="4" spans="5:23" s="8" customFormat="1" x14ac:dyDescent="0.3">
      <c r="E4" s="20"/>
    </row>
    <row r="5" spans="5:23" s="8" customFormat="1" x14ac:dyDescent="0.3">
      <c r="E5" s="20"/>
    </row>
    <row r="6" spans="5:23" s="8" customFormat="1" x14ac:dyDescent="0.3">
      <c r="E6" s="20"/>
    </row>
    <row r="12" spans="5:23" ht="18" x14ac:dyDescent="0.35">
      <c r="I12" s="10"/>
    </row>
    <row r="26" spans="29:29" x14ac:dyDescent="0.3">
      <c r="AC26"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CD888-DFBD-4F48-83B8-7A50E41209FB}">
  <dimension ref="F1:W12"/>
  <sheetViews>
    <sheetView tabSelected="1" zoomScale="74" workbookViewId="0">
      <selection activeCell="AA15" sqref="AA15"/>
    </sheetView>
  </sheetViews>
  <sheetFormatPr defaultRowHeight="14.4" x14ac:dyDescent="0.3"/>
  <cols>
    <col min="1" max="5" width="8.88671875" style="7"/>
    <col min="6" max="6" width="8.88671875" style="21"/>
    <col min="7" max="16384" width="8.88671875" style="7"/>
  </cols>
  <sheetData>
    <row r="1" spans="6:23" s="8" customFormat="1" x14ac:dyDescent="0.3">
      <c r="F1" s="20"/>
    </row>
    <row r="2" spans="6:23" s="8" customFormat="1" ht="23.4" x14ac:dyDescent="0.45">
      <c r="F2" s="20"/>
      <c r="J2" s="13" t="s">
        <v>40</v>
      </c>
      <c r="K2" s="11"/>
      <c r="L2" s="9"/>
      <c r="M2" s="14" t="s">
        <v>43</v>
      </c>
      <c r="O2" s="13" t="s">
        <v>44</v>
      </c>
      <c r="P2" s="16"/>
      <c r="Q2" s="17" t="s">
        <v>45</v>
      </c>
      <c r="R2" s="11"/>
      <c r="T2" s="18" t="s">
        <v>0</v>
      </c>
      <c r="W2" s="12" t="s">
        <v>46</v>
      </c>
    </row>
    <row r="3" spans="6:23" s="8" customFormat="1" x14ac:dyDescent="0.3">
      <c r="F3" s="20"/>
      <c r="M3" s="8" t="s">
        <v>41</v>
      </c>
    </row>
    <row r="4" spans="6:23" s="8" customFormat="1" x14ac:dyDescent="0.3">
      <c r="F4" s="20"/>
    </row>
    <row r="5" spans="6:23" s="8" customFormat="1" x14ac:dyDescent="0.3">
      <c r="F5" s="20"/>
    </row>
    <row r="6" spans="6:23" s="8" customFormat="1" x14ac:dyDescent="0.3">
      <c r="F6" s="20"/>
    </row>
    <row r="12" spans="6:23" ht="18" x14ac:dyDescent="0.35">
      <c r="I12"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B5A869-895C-46AB-A6E3-0AFAAA8333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Merge1</vt:lpstr>
      <vt:lpstr>home</vt:lpstr>
      <vt:lpstr>page_1</vt:lpstr>
      <vt:lpstr>page_2</vt:lpstr>
      <vt:lpstr>page_3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شيماء عبد الجواد انور محمد</cp:lastModifiedBy>
  <dcterms:created xsi:type="dcterms:W3CDTF">2015-06-05T18:17:20Z</dcterms:created>
  <dcterms:modified xsi:type="dcterms:W3CDTF">2025-01-03T22:34:01Z</dcterms:modified>
</cp:coreProperties>
</file>